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hvl365-my.sharepoint.com/personal/671637_stud_hvl_no/Documents/7. Bachelor/Litteratur/Detrital_zircon_data/"/>
    </mc:Choice>
  </mc:AlternateContent>
  <xr:revisionPtr revIDLastSave="309" documentId="8_{646CEA1A-CA6B-45AD-943F-A12A7F49FA03}" xr6:coauthVersionLast="47" xr6:coauthVersionMax="47" xr10:uidLastSave="{B454941C-C6F2-4C36-B248-9ABF5D2A1263}"/>
  <bookViews>
    <workbookView xWindow="-120" yWindow="-120" windowWidth="29040" windowHeight="15720" xr2:uid="{F73C3D4C-7A36-4DC7-8928-B2F01914AEDC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117" i="1" l="1"/>
  <c r="AH117" i="1"/>
  <c r="AG117" i="1"/>
  <c r="AJ116" i="1"/>
  <c r="AH116" i="1"/>
  <c r="AG116" i="1"/>
  <c r="AJ115" i="1"/>
  <c r="AH115" i="1"/>
  <c r="AG115" i="1"/>
  <c r="AJ114" i="1"/>
  <c r="AH114" i="1"/>
  <c r="AG114" i="1"/>
  <c r="AJ113" i="1"/>
  <c r="AH113" i="1"/>
  <c r="AG113" i="1"/>
  <c r="AJ112" i="1"/>
  <c r="AH112" i="1"/>
  <c r="AG112" i="1"/>
  <c r="AJ111" i="1"/>
  <c r="AH111" i="1"/>
  <c r="AG111" i="1"/>
  <c r="AJ110" i="1"/>
  <c r="AH110" i="1"/>
  <c r="AG110" i="1"/>
  <c r="AJ109" i="1"/>
  <c r="AH109" i="1"/>
  <c r="AG109" i="1"/>
  <c r="AJ108" i="1"/>
  <c r="AH108" i="1"/>
  <c r="AG108" i="1"/>
  <c r="AJ107" i="1"/>
  <c r="AH107" i="1"/>
  <c r="AG107" i="1"/>
  <c r="AJ106" i="1"/>
  <c r="AH106" i="1"/>
  <c r="AG106" i="1"/>
  <c r="AJ105" i="1"/>
  <c r="AH105" i="1"/>
  <c r="AG105" i="1"/>
  <c r="AJ104" i="1"/>
  <c r="AH104" i="1"/>
  <c r="AG104" i="1"/>
  <c r="AJ103" i="1"/>
  <c r="AH103" i="1"/>
  <c r="AG103" i="1"/>
  <c r="AJ102" i="1"/>
  <c r="AH102" i="1"/>
  <c r="AG102" i="1"/>
  <c r="AJ101" i="1"/>
  <c r="AH101" i="1"/>
  <c r="AG101" i="1"/>
  <c r="AJ100" i="1"/>
  <c r="AH100" i="1"/>
  <c r="AG100" i="1"/>
  <c r="AJ99" i="1"/>
  <c r="AH99" i="1"/>
  <c r="AG99" i="1"/>
  <c r="AJ98" i="1"/>
  <c r="AH98" i="1"/>
  <c r="AG98" i="1"/>
  <c r="AJ97" i="1"/>
  <c r="AH97" i="1"/>
  <c r="AG97" i="1"/>
  <c r="AJ96" i="1"/>
  <c r="AH96" i="1"/>
  <c r="AG96" i="1"/>
  <c r="AJ95" i="1"/>
  <c r="AH95" i="1"/>
  <c r="AG95" i="1"/>
  <c r="AJ94" i="1"/>
  <c r="AH94" i="1"/>
  <c r="AG94" i="1"/>
  <c r="AJ93" i="1"/>
  <c r="AH93" i="1"/>
  <c r="AG93" i="1"/>
  <c r="AJ92" i="1"/>
  <c r="AH92" i="1"/>
  <c r="AG92" i="1"/>
  <c r="AJ91" i="1"/>
  <c r="AH91" i="1"/>
  <c r="AG91" i="1"/>
  <c r="AJ90" i="1"/>
  <c r="AH90" i="1"/>
  <c r="AG90" i="1"/>
  <c r="AJ89" i="1"/>
  <c r="AH89" i="1"/>
  <c r="AG89" i="1"/>
  <c r="AJ88" i="1"/>
  <c r="AH88" i="1"/>
  <c r="AG88" i="1"/>
  <c r="AJ87" i="1"/>
  <c r="AH87" i="1"/>
  <c r="AG87" i="1"/>
  <c r="AJ86" i="1"/>
  <c r="AH86" i="1"/>
  <c r="AG86" i="1"/>
  <c r="AJ85" i="1"/>
  <c r="AH85" i="1"/>
  <c r="AG85" i="1"/>
  <c r="AJ84" i="1"/>
  <c r="AH84" i="1"/>
  <c r="AG84" i="1"/>
  <c r="AJ83" i="1"/>
  <c r="AH83" i="1"/>
  <c r="AG83" i="1"/>
  <c r="AJ82" i="1"/>
  <c r="AH82" i="1"/>
  <c r="AG82" i="1"/>
  <c r="AJ81" i="1"/>
  <c r="AH81" i="1"/>
  <c r="AG81" i="1"/>
  <c r="AJ80" i="1"/>
  <c r="AH80" i="1"/>
  <c r="AG80" i="1"/>
  <c r="AJ79" i="1"/>
  <c r="AH79" i="1"/>
  <c r="AG79" i="1"/>
  <c r="AJ78" i="1"/>
  <c r="AH78" i="1"/>
  <c r="AG78" i="1"/>
  <c r="AJ77" i="1"/>
  <c r="AH77" i="1"/>
  <c r="AG77" i="1"/>
  <c r="AJ76" i="1"/>
  <c r="AH76" i="1"/>
  <c r="AG76" i="1"/>
  <c r="AJ75" i="1"/>
  <c r="AH75" i="1"/>
  <c r="AG75" i="1"/>
  <c r="AJ74" i="1"/>
  <c r="AH74" i="1"/>
  <c r="AG74" i="1"/>
  <c r="AJ73" i="1"/>
  <c r="AH73" i="1"/>
  <c r="AG73" i="1"/>
  <c r="AJ72" i="1"/>
  <c r="AH72" i="1"/>
  <c r="AG72" i="1"/>
  <c r="AJ71" i="1"/>
  <c r="AH71" i="1"/>
  <c r="AG71" i="1"/>
  <c r="AJ70" i="1"/>
  <c r="AH70" i="1"/>
  <c r="AG70" i="1"/>
  <c r="AJ69" i="1"/>
  <c r="AH69" i="1"/>
  <c r="AG69" i="1"/>
  <c r="AJ68" i="1"/>
  <c r="AH68" i="1"/>
  <c r="AG68" i="1"/>
  <c r="AJ67" i="1"/>
  <c r="AH67" i="1"/>
  <c r="AG67" i="1"/>
  <c r="AJ66" i="1"/>
  <c r="AH66" i="1"/>
  <c r="AG66" i="1"/>
  <c r="AJ65" i="1"/>
  <c r="AH65" i="1"/>
  <c r="AG65" i="1"/>
  <c r="AJ64" i="1"/>
  <c r="AH64" i="1"/>
  <c r="AG64" i="1"/>
  <c r="AJ63" i="1"/>
  <c r="AH63" i="1"/>
  <c r="AG63" i="1"/>
  <c r="AJ62" i="1"/>
  <c r="AH62" i="1"/>
  <c r="AG62" i="1"/>
  <c r="AJ61" i="1"/>
  <c r="AH61" i="1"/>
  <c r="AG61" i="1"/>
  <c r="AJ60" i="1"/>
  <c r="AH60" i="1"/>
  <c r="AG60" i="1"/>
  <c r="AJ59" i="1"/>
  <c r="AH59" i="1"/>
  <c r="AG59" i="1"/>
  <c r="AJ58" i="1"/>
  <c r="AH58" i="1"/>
  <c r="AG58" i="1"/>
  <c r="AJ57" i="1"/>
  <c r="AH57" i="1"/>
  <c r="AG57" i="1"/>
  <c r="AJ56" i="1"/>
  <c r="AH56" i="1"/>
  <c r="AG56" i="1"/>
  <c r="AJ55" i="1"/>
  <c r="AH55" i="1"/>
  <c r="AG55" i="1"/>
  <c r="AJ54" i="1"/>
  <c r="AH54" i="1"/>
  <c r="AG54" i="1"/>
  <c r="AJ53" i="1"/>
  <c r="AH53" i="1"/>
  <c r="AG53" i="1"/>
  <c r="AJ52" i="1"/>
  <c r="AH52" i="1"/>
  <c r="AG52" i="1"/>
  <c r="AJ51" i="1"/>
  <c r="AH51" i="1"/>
  <c r="AG51" i="1"/>
  <c r="AJ50" i="1"/>
  <c r="AH50" i="1"/>
  <c r="AG50" i="1"/>
  <c r="AJ49" i="1"/>
  <c r="AH49" i="1"/>
  <c r="AG49" i="1"/>
  <c r="AJ48" i="1"/>
  <c r="AH48" i="1"/>
  <c r="AG48" i="1"/>
  <c r="AJ47" i="1"/>
  <c r="AH47" i="1"/>
  <c r="AG47" i="1"/>
  <c r="AJ46" i="1"/>
  <c r="AH46" i="1"/>
  <c r="AG46" i="1"/>
  <c r="AJ45" i="1"/>
  <c r="AH45" i="1"/>
  <c r="AG45" i="1"/>
  <c r="AJ44" i="1"/>
  <c r="AH44" i="1"/>
  <c r="AG44" i="1"/>
  <c r="AJ43" i="1"/>
  <c r="AH43" i="1"/>
  <c r="AG43" i="1"/>
  <c r="AJ42" i="1"/>
  <c r="AH42" i="1"/>
  <c r="AG42" i="1"/>
  <c r="AJ41" i="1"/>
  <c r="AH41" i="1"/>
  <c r="AG41" i="1"/>
  <c r="AJ40" i="1"/>
  <c r="AH40" i="1"/>
  <c r="AG40" i="1"/>
  <c r="AJ39" i="1"/>
  <c r="AH39" i="1"/>
  <c r="AG39" i="1"/>
  <c r="AJ38" i="1"/>
  <c r="AH38" i="1"/>
  <c r="AG38" i="1"/>
  <c r="AJ37" i="1"/>
  <c r="AH37" i="1"/>
  <c r="AG37" i="1"/>
  <c r="AJ36" i="1"/>
  <c r="AH36" i="1"/>
  <c r="AG36" i="1"/>
  <c r="AJ35" i="1"/>
  <c r="AH35" i="1"/>
  <c r="AG35" i="1"/>
  <c r="AJ34" i="1"/>
  <c r="AH34" i="1"/>
  <c r="AG34" i="1"/>
  <c r="AJ33" i="1"/>
  <c r="AH33" i="1"/>
  <c r="AG33" i="1"/>
  <c r="AJ32" i="1"/>
  <c r="AH32" i="1"/>
  <c r="AG32" i="1"/>
  <c r="AJ31" i="1"/>
  <c r="AH31" i="1"/>
  <c r="AG31" i="1"/>
  <c r="AJ30" i="1"/>
  <c r="AH30" i="1"/>
  <c r="AG30" i="1"/>
  <c r="AJ29" i="1"/>
  <c r="AH29" i="1"/>
  <c r="AG29" i="1"/>
  <c r="AJ28" i="1"/>
  <c r="AH28" i="1"/>
  <c r="AG28" i="1"/>
  <c r="AJ27" i="1"/>
  <c r="AH27" i="1"/>
  <c r="AG27" i="1"/>
  <c r="AJ26" i="1"/>
  <c r="AH26" i="1"/>
  <c r="AG26" i="1"/>
  <c r="AJ25" i="1"/>
  <c r="AH25" i="1"/>
  <c r="AG25" i="1"/>
  <c r="AJ24" i="1"/>
  <c r="AH24" i="1"/>
  <c r="AG24" i="1"/>
  <c r="AJ23" i="1"/>
  <c r="AH23" i="1"/>
  <c r="AG23" i="1"/>
  <c r="AJ22" i="1"/>
  <c r="AH22" i="1"/>
  <c r="AG22" i="1"/>
  <c r="AJ21" i="1"/>
  <c r="AH21" i="1"/>
  <c r="AG21" i="1"/>
  <c r="AJ20" i="1"/>
  <c r="AH20" i="1"/>
  <c r="AG20" i="1"/>
  <c r="AJ19" i="1"/>
  <c r="AH19" i="1"/>
  <c r="AG19" i="1"/>
  <c r="AJ18" i="1"/>
  <c r="AH18" i="1"/>
  <c r="AG18" i="1"/>
  <c r="AJ17" i="1"/>
  <c r="AH17" i="1"/>
  <c r="AG17" i="1"/>
  <c r="AJ16" i="1"/>
  <c r="AH16" i="1"/>
  <c r="AG16" i="1"/>
  <c r="AJ15" i="1"/>
  <c r="AH15" i="1"/>
  <c r="AG15" i="1"/>
  <c r="AJ14" i="1"/>
  <c r="AH14" i="1"/>
  <c r="AG14" i="1"/>
  <c r="AJ13" i="1"/>
  <c r="AH13" i="1"/>
  <c r="AG13" i="1"/>
  <c r="AJ12" i="1"/>
  <c r="AH12" i="1"/>
  <c r="AG12" i="1"/>
  <c r="AJ11" i="1"/>
  <c r="AH11" i="1"/>
  <c r="AG11" i="1"/>
  <c r="AJ10" i="1"/>
  <c r="AH10" i="1"/>
  <c r="AG10" i="1"/>
  <c r="AJ9" i="1"/>
  <c r="AH9" i="1"/>
  <c r="AG9" i="1"/>
  <c r="AJ8" i="1"/>
  <c r="AH8" i="1"/>
  <c r="AG8" i="1"/>
  <c r="AJ7" i="1"/>
  <c r="AH7" i="1"/>
  <c r="AG7" i="1"/>
  <c r="AJ6" i="1"/>
  <c r="AH6" i="1"/>
  <c r="AG6" i="1"/>
  <c r="AJ5" i="1"/>
  <c r="AH5" i="1"/>
  <c r="AG5" i="1"/>
  <c r="AJ4" i="1"/>
  <c r="AH4" i="1"/>
  <c r="AG4" i="1"/>
  <c r="AJ3" i="1"/>
  <c r="AH3" i="1"/>
  <c r="AG3" i="1"/>
</calcChain>
</file>

<file path=xl/sharedStrings.xml><?xml version="1.0" encoding="utf-8"?>
<sst xmlns="http://schemas.openxmlformats.org/spreadsheetml/2006/main" count="1203" uniqueCount="1157">
  <si>
    <t>238U/206Pb</t>
  </si>
  <si>
    <t>2SE</t>
  </si>
  <si>
    <t>207Pb/206Pb</t>
  </si>
  <si>
    <t>SK25-2</t>
  </si>
  <si>
    <t>DG12</t>
  </si>
  <si>
    <t>GM34</t>
  </si>
  <si>
    <t>EM28</t>
  </si>
  <si>
    <t>DGA14_MN_121</t>
  </si>
  <si>
    <t>AK_121</t>
  </si>
  <si>
    <t>DG27</t>
  </si>
  <si>
    <t>AK_001</t>
  </si>
  <si>
    <t>Name</t>
  </si>
  <si>
    <t>DG12-01-</t>
  </si>
  <si>
    <t>DG12-44-</t>
  </si>
  <si>
    <t>DG12-40-</t>
  </si>
  <si>
    <t>DG12-93-</t>
  </si>
  <si>
    <t>DG12-60-</t>
  </si>
  <si>
    <t>DG12-78-</t>
  </si>
  <si>
    <t>DG12-18-</t>
  </si>
  <si>
    <t>DG12-59-</t>
  </si>
  <si>
    <t>DG12-26-</t>
  </si>
  <si>
    <t>DG12-51-</t>
  </si>
  <si>
    <t>DG12-37-</t>
  </si>
  <si>
    <t>DG12-106-</t>
  </si>
  <si>
    <t>DG12-54-</t>
  </si>
  <si>
    <t>DG12-58-</t>
  </si>
  <si>
    <t>DG12-15-</t>
  </si>
  <si>
    <t>DG12-71-</t>
  </si>
  <si>
    <t>DG12-86-</t>
  </si>
  <si>
    <t>DG12-28-</t>
  </si>
  <si>
    <t>DG12-52-</t>
  </si>
  <si>
    <t>DG12-75-</t>
  </si>
  <si>
    <t>DG12-17-</t>
  </si>
  <si>
    <t>DG12-79-</t>
  </si>
  <si>
    <t>DG12-69-</t>
  </si>
  <si>
    <t>DG12-90-</t>
  </si>
  <si>
    <t>DG12-96-</t>
  </si>
  <si>
    <t>DG12-70-</t>
  </si>
  <si>
    <t>DG12-103-</t>
  </si>
  <si>
    <t>DG12-110-</t>
  </si>
  <si>
    <t>DG12-114-</t>
  </si>
  <si>
    <t>DG12-63-</t>
  </si>
  <si>
    <t>DG12-121-</t>
  </si>
  <si>
    <t>DG12-46-</t>
  </si>
  <si>
    <t>DG12-57-</t>
  </si>
  <si>
    <t>DG12-43-</t>
  </si>
  <si>
    <t>DG12-02-</t>
  </si>
  <si>
    <t>DG12-38-</t>
  </si>
  <si>
    <t>DG12-122-</t>
  </si>
  <si>
    <t>DG12-64-</t>
  </si>
  <si>
    <t>DG12-19-</t>
  </si>
  <si>
    <t>DG12-16-</t>
  </si>
  <si>
    <t>DG12-03-</t>
  </si>
  <si>
    <t>DG12-53-</t>
  </si>
  <si>
    <t>DG12-62-</t>
  </si>
  <si>
    <t>DG12-91-</t>
  </si>
  <si>
    <t>DG12-31-</t>
  </si>
  <si>
    <t>DG12-68-</t>
  </si>
  <si>
    <t>DG12-20-</t>
  </si>
  <si>
    <t>DG12-99-</t>
  </si>
  <si>
    <t>DG12-39-</t>
  </si>
  <si>
    <t>DG12-89-</t>
  </si>
  <si>
    <t>DG12-55-</t>
  </si>
  <si>
    <t>DG12-97-</t>
  </si>
  <si>
    <t>DG12-41-</t>
  </si>
  <si>
    <t>DG12-81-</t>
  </si>
  <si>
    <t>DG12-22-</t>
  </si>
  <si>
    <t>DG12-95-</t>
  </si>
  <si>
    <t>DG12-34-</t>
  </si>
  <si>
    <t>DG12-83-</t>
  </si>
  <si>
    <t>DG12-113-</t>
  </si>
  <si>
    <t>DG12-109-</t>
  </si>
  <si>
    <t>DG12-06-</t>
  </si>
  <si>
    <t>DG12-45-</t>
  </si>
  <si>
    <t>DG12-65-</t>
  </si>
  <si>
    <t>DG12-10-</t>
  </si>
  <si>
    <t>DG12-49-</t>
  </si>
  <si>
    <t>DG12-77-</t>
  </si>
  <si>
    <t>DG12-116-</t>
  </si>
  <si>
    <t>DG12-67-</t>
  </si>
  <si>
    <t>DG12-48-</t>
  </si>
  <si>
    <t>DG12-120-</t>
  </si>
  <si>
    <t>DG12-84-</t>
  </si>
  <si>
    <t>DG12-100-</t>
  </si>
  <si>
    <t>DG12-56-</t>
  </si>
  <si>
    <t>DG12-108-</t>
  </si>
  <si>
    <t>DG12-101-</t>
  </si>
  <si>
    <t>DG12-09-</t>
  </si>
  <si>
    <t>DG12-85-</t>
  </si>
  <si>
    <t>DG12-80-</t>
  </si>
  <si>
    <t>DG12-118-</t>
  </si>
  <si>
    <t>DG12-105-</t>
  </si>
  <si>
    <t>DG12-13-</t>
  </si>
  <si>
    <t>DG12-111-</t>
  </si>
  <si>
    <t>DG12-07-</t>
  </si>
  <si>
    <t>DG12-115-</t>
  </si>
  <si>
    <t>DG12-112-</t>
  </si>
  <si>
    <t>RHO</t>
  </si>
  <si>
    <t>163706-80</t>
  </si>
  <si>
    <t>163706-38</t>
  </si>
  <si>
    <t>163706-62b</t>
  </si>
  <si>
    <t>163706-28</t>
  </si>
  <si>
    <t>163706-20</t>
  </si>
  <si>
    <t>163706-104</t>
  </si>
  <si>
    <t>163706-56</t>
  </si>
  <si>
    <t>163706-18</t>
  </si>
  <si>
    <t>163706-102</t>
  </si>
  <si>
    <t>163706-106</t>
  </si>
  <si>
    <t>163706-16</t>
  </si>
  <si>
    <t>163706-44</t>
  </si>
  <si>
    <t>163706-68</t>
  </si>
  <si>
    <t>163706-103</t>
  </si>
  <si>
    <t>163706-21</t>
  </si>
  <si>
    <t>163706-105</t>
  </si>
  <si>
    <t>163706-2</t>
  </si>
  <si>
    <t>163706-99</t>
  </si>
  <si>
    <t>163706-12</t>
  </si>
  <si>
    <t>163706-100</t>
  </si>
  <si>
    <t>163706-67</t>
  </si>
  <si>
    <t>163706-101</t>
  </si>
  <si>
    <t>163706-92</t>
  </si>
  <si>
    <t>163706-8</t>
  </si>
  <si>
    <t>163706-13</t>
  </si>
  <si>
    <t>163706-30</t>
  </si>
  <si>
    <t>163706-14</t>
  </si>
  <si>
    <t>163706-73</t>
  </si>
  <si>
    <t>163706-9</t>
  </si>
  <si>
    <t>163706-24</t>
  </si>
  <si>
    <t>163706-60</t>
  </si>
  <si>
    <t>163706-3</t>
  </si>
  <si>
    <t>163706-84</t>
  </si>
  <si>
    <t>163706-40</t>
  </si>
  <si>
    <t>163706-55</t>
  </si>
  <si>
    <t>163706-77</t>
  </si>
  <si>
    <t>163706-94</t>
  </si>
  <si>
    <t>163706-70</t>
  </si>
  <si>
    <t>163706-19</t>
  </si>
  <si>
    <t>163706-64</t>
  </si>
  <si>
    <t>163706-93</t>
  </si>
  <si>
    <t>163706-87</t>
  </si>
  <si>
    <t>163706-1</t>
  </si>
  <si>
    <t>163706-43</t>
  </si>
  <si>
    <t>163706-27</t>
  </si>
  <si>
    <t>163706-91</t>
  </si>
  <si>
    <t>163706-36</t>
  </si>
  <si>
    <t>163706-90</t>
  </si>
  <si>
    <t>163706-6</t>
  </si>
  <si>
    <t>163706-42</t>
  </si>
  <si>
    <t>163706-66</t>
  </si>
  <si>
    <t>163706-63</t>
  </si>
  <si>
    <t>163706-31</t>
  </si>
  <si>
    <t>163706-23</t>
  </si>
  <si>
    <t>163706-95</t>
  </si>
  <si>
    <t>163706-41</t>
  </si>
  <si>
    <t>163706-39</t>
  </si>
  <si>
    <t>163706-7</t>
  </si>
  <si>
    <t>163706-26</t>
  </si>
  <si>
    <t>163706-47</t>
  </si>
  <si>
    <t>163706-71</t>
  </si>
  <si>
    <t>163706-37</t>
  </si>
  <si>
    <t>163706-79</t>
  </si>
  <si>
    <t>163706-86</t>
  </si>
  <si>
    <t>163706-81</t>
  </si>
  <si>
    <t>163706-74</t>
  </si>
  <si>
    <t>163706-85</t>
  </si>
  <si>
    <t>163706-34</t>
  </si>
  <si>
    <t>163706-4</t>
  </si>
  <si>
    <t>163706-97</t>
  </si>
  <si>
    <t>163706-57</t>
  </si>
  <si>
    <t>163706-58</t>
  </si>
  <si>
    <t>163706-33</t>
  </si>
  <si>
    <t>163706-82</t>
  </si>
  <si>
    <t>163706-22</t>
  </si>
  <si>
    <t>163706-45</t>
  </si>
  <si>
    <t>163706-5</t>
  </si>
  <si>
    <t>163706-83</t>
  </si>
  <si>
    <t>163706-11</t>
  </si>
  <si>
    <t>163706-50</t>
  </si>
  <si>
    <t>163706-53</t>
  </si>
  <si>
    <t>163706-10</t>
  </si>
  <si>
    <t>163706-46</t>
  </si>
  <si>
    <t>163706-32</t>
  </si>
  <si>
    <t>163706-35</t>
  </si>
  <si>
    <t>163706-78</t>
  </si>
  <si>
    <t>163706-61</t>
  </si>
  <si>
    <t>163706-98</t>
  </si>
  <si>
    <t>163706-88</t>
  </si>
  <si>
    <t>163706-59</t>
  </si>
  <si>
    <t>163706-75</t>
  </si>
  <si>
    <t>163706-72</t>
  </si>
  <si>
    <t>163706-76</t>
  </si>
  <si>
    <t>163706-17</t>
  </si>
  <si>
    <t>163706-48</t>
  </si>
  <si>
    <t>119037-31</t>
  </si>
  <si>
    <t>119037-9</t>
  </si>
  <si>
    <t>119037-33</t>
  </si>
  <si>
    <t>119037-38</t>
  </si>
  <si>
    <t>119037-11</t>
  </si>
  <si>
    <t>119037-25</t>
  </si>
  <si>
    <t>119037-27</t>
  </si>
  <si>
    <t>119037-30</t>
  </si>
  <si>
    <t>119037-23</t>
  </si>
  <si>
    <t>119037-26</t>
  </si>
  <si>
    <t>119037-1</t>
  </si>
  <si>
    <t>119037-22</t>
  </si>
  <si>
    <t>119037-14</t>
  </si>
  <si>
    <t>119037-15</t>
  </si>
  <si>
    <t>119037-39</t>
  </si>
  <si>
    <t>119037-13</t>
  </si>
  <si>
    <t>119037-4</t>
  </si>
  <si>
    <t>119037-37</t>
  </si>
  <si>
    <t>119037-34</t>
  </si>
  <si>
    <t>119037-17</t>
  </si>
  <si>
    <t>119037-7</t>
  </si>
  <si>
    <t>119037-32</t>
  </si>
  <si>
    <t>119037-5</t>
  </si>
  <si>
    <t>119037-10</t>
  </si>
  <si>
    <t>119037-29</t>
  </si>
  <si>
    <t>119037-6</t>
  </si>
  <si>
    <t>119037-36</t>
  </si>
  <si>
    <t>119037-3</t>
  </si>
  <si>
    <t>119037-2</t>
  </si>
  <si>
    <t>119037-35</t>
  </si>
  <si>
    <t>119037-41</t>
  </si>
  <si>
    <t>119037-40</t>
  </si>
  <si>
    <t>SK25-2-112</t>
  </si>
  <si>
    <t>SK25-2-53</t>
  </si>
  <si>
    <t>SK25-2-92</t>
  </si>
  <si>
    <t>SK25-2-19</t>
  </si>
  <si>
    <t>SK25-2-108</t>
  </si>
  <si>
    <t>SK25-2-101</t>
  </si>
  <si>
    <t>SK25-2-38</t>
  </si>
  <si>
    <t>SK25-2-106</t>
  </si>
  <si>
    <t>SK25-2-20</t>
  </si>
  <si>
    <t>SK25-2-69</t>
  </si>
  <si>
    <t>SK25-2-102</t>
  </si>
  <si>
    <t>SK25-2-83</t>
  </si>
  <si>
    <t>SK25-2-18</t>
  </si>
  <si>
    <t>SK25-2-57</t>
  </si>
  <si>
    <t>SK25-2-70</t>
  </si>
  <si>
    <t>SK25-2-97</t>
  </si>
  <si>
    <t>SK25-2-32</t>
  </si>
  <si>
    <t>SK25-2-8</t>
  </si>
  <si>
    <t>SK25-2-17</t>
  </si>
  <si>
    <t>SK25-2-100</t>
  </si>
  <si>
    <t>SK25-2-11</t>
  </si>
  <si>
    <t>SK25-2-40</t>
  </si>
  <si>
    <t>SK25-2-98</t>
  </si>
  <si>
    <t>SK25-2-65</t>
  </si>
  <si>
    <t>SK25-2-13</t>
  </si>
  <si>
    <t>SK25-2-42</t>
  </si>
  <si>
    <t>SK25-2-21</t>
  </si>
  <si>
    <t>SK25-2-23</t>
  </si>
  <si>
    <t>SK25-2-59</t>
  </si>
  <si>
    <t>SK25-2-51</t>
  </si>
  <si>
    <t>SK25-2-52</t>
  </si>
  <si>
    <t>SK25-2-88</t>
  </si>
  <si>
    <t>SK25-2-62</t>
  </si>
  <si>
    <t>SK25-2-91</t>
  </si>
  <si>
    <t>SK25-2-115</t>
  </si>
  <si>
    <t>SK25-2-95</t>
  </si>
  <si>
    <t>SK25-2-87</t>
  </si>
  <si>
    <t>SK25-2-113</t>
  </si>
  <si>
    <t>SK25-2-104</t>
  </si>
  <si>
    <t>SK25-2-75</t>
  </si>
  <si>
    <t>SK25-2-28</t>
  </si>
  <si>
    <t>SK25-2-58</t>
  </si>
  <si>
    <t>SK25-2-114</t>
  </si>
  <si>
    <t>SK25-2-111</t>
  </si>
  <si>
    <t>SK25-2-76</t>
  </si>
  <si>
    <t>SK25-2-67</t>
  </si>
  <si>
    <t>SK25-2-107</t>
  </si>
  <si>
    <t>SK25-2-56</t>
  </si>
  <si>
    <t>SK25-2-34</t>
  </si>
  <si>
    <t>SK25-2-46</t>
  </si>
  <si>
    <t>SK25-2-54</t>
  </si>
  <si>
    <t>SK25-2-9</t>
  </si>
  <si>
    <t>SK25-2-117</t>
  </si>
  <si>
    <t>SK25-2-10</t>
  </si>
  <si>
    <t>SK25-2-31</t>
  </si>
  <si>
    <t>SK25-2-109</t>
  </si>
  <si>
    <t>SK25-2-49</t>
  </si>
  <si>
    <t>SK25-2-77</t>
  </si>
  <si>
    <t>SK25-2-96</t>
  </si>
  <si>
    <t>SK25-2-33</t>
  </si>
  <si>
    <t>SK25-2-120</t>
  </si>
  <si>
    <t>SK25-2-66</t>
  </si>
  <si>
    <t>SK25-2-22</t>
  </si>
  <si>
    <t>SK25-2-82</t>
  </si>
  <si>
    <t>SK25-2-119</t>
  </si>
  <si>
    <t>SK25-2-5</t>
  </si>
  <si>
    <t>SK25-2-2</t>
  </si>
  <si>
    <t>SK25-2-14</t>
  </si>
  <si>
    <t>SK25-2-39</t>
  </si>
  <si>
    <t>SK25-2-79</t>
  </si>
  <si>
    <t>SK25-2-43</t>
  </si>
  <si>
    <t>SK25-2-105</t>
  </si>
  <si>
    <t>SK25-2-68</t>
  </si>
  <si>
    <t>SK25-2-27</t>
  </si>
  <si>
    <t>SK25-2-41</t>
  </si>
  <si>
    <t>SK25-2-60</t>
  </si>
  <si>
    <t>SK25-2-4</t>
  </si>
  <si>
    <t>SK25-2-94</t>
  </si>
  <si>
    <t>SK25-2-116</t>
  </si>
  <si>
    <t>SK25-2-26</t>
  </si>
  <si>
    <t>SK25-2-6</t>
  </si>
  <si>
    <t>SK25-2-64</t>
  </si>
  <si>
    <t>SK25-2-48</t>
  </si>
  <si>
    <t>SK25-2-24</t>
  </si>
  <si>
    <t>SK25-2-55</t>
  </si>
  <si>
    <t>SK25-2-29</t>
  </si>
  <si>
    <t>SK25-2-72</t>
  </si>
  <si>
    <t>SK25-2-80</t>
  </si>
  <si>
    <t>SK25-2-81</t>
  </si>
  <si>
    <t>SK25-2-118</t>
  </si>
  <si>
    <t>SK25-2-15</t>
  </si>
  <si>
    <t>SK25-2-103</t>
  </si>
  <si>
    <t>SK25-2-50</t>
  </si>
  <si>
    <t>SK25-2-73</t>
  </si>
  <si>
    <t>SK25-2-25</t>
  </si>
  <si>
    <t>SK25-2-74</t>
  </si>
  <si>
    <t>SK25-2-35</t>
  </si>
  <si>
    <t>SK25-2-47</t>
  </si>
  <si>
    <t>SK25-2-86</t>
  </si>
  <si>
    <t>SK25-2-44</t>
  </si>
  <si>
    <t>SK25-2-30</t>
  </si>
  <si>
    <t>SK25-2-3</t>
  </si>
  <si>
    <t>SK25-2-7</t>
  </si>
  <si>
    <t>SK25-2-36</t>
  </si>
  <si>
    <t>SK25-2-45</t>
  </si>
  <si>
    <t>SK25-2-37</t>
  </si>
  <si>
    <t>SK25-2-71</t>
  </si>
  <si>
    <t>SK25-2-78</t>
  </si>
  <si>
    <t>SK25-2-1</t>
  </si>
  <si>
    <t>SK25-2-93</t>
  </si>
  <si>
    <t>SK25-2-110</t>
  </si>
  <si>
    <t>163706-89</t>
  </si>
  <si>
    <t>163706-51</t>
  </si>
  <si>
    <t>163706-54</t>
  </si>
  <si>
    <t>163706-69</t>
  </si>
  <si>
    <t>163706-62</t>
  </si>
  <si>
    <t>163706-96</t>
  </si>
  <si>
    <t>119037-18</t>
  </si>
  <si>
    <t>119037-16</t>
  </si>
  <si>
    <t>119037-12</t>
  </si>
  <si>
    <t>119037-20</t>
  </si>
  <si>
    <t>119037-21</t>
  </si>
  <si>
    <t>119037-28</t>
  </si>
  <si>
    <t>119037-24</t>
  </si>
  <si>
    <t>119037-8</t>
  </si>
  <si>
    <t>SK25-2-85</t>
  </si>
  <si>
    <t>SK25-2-63</t>
  </si>
  <si>
    <t>SK25-2-99</t>
  </si>
  <si>
    <t>SK25-2-89</t>
  </si>
  <si>
    <t>SK25-2-84</t>
  </si>
  <si>
    <t>SK25-2-90</t>
  </si>
  <si>
    <t>SK25-2-61</t>
  </si>
  <si>
    <t>SK25-2-16</t>
  </si>
  <si>
    <t>DG12-50-</t>
  </si>
  <si>
    <t>DG12-119-</t>
  </si>
  <si>
    <t>DG12-88-</t>
  </si>
  <si>
    <t>DG12-36-</t>
  </si>
  <si>
    <t>DG12-08-</t>
  </si>
  <si>
    <t>DG12-21-</t>
  </si>
  <si>
    <t>DG12-11-</t>
  </si>
  <si>
    <t>DG12-27-</t>
  </si>
  <si>
    <t>DG12-107-</t>
  </si>
  <si>
    <t>DG12-04-</t>
  </si>
  <si>
    <t>DG12-23-</t>
  </si>
  <si>
    <t>DG12-104-</t>
  </si>
  <si>
    <t>DG12-92-</t>
  </si>
  <si>
    <t>DG12-82-</t>
  </si>
  <si>
    <t>DG12-05-</t>
  </si>
  <si>
    <t>DG12-66-</t>
  </si>
  <si>
    <t>DG12-73-</t>
  </si>
  <si>
    <t>DG12-35-</t>
  </si>
  <si>
    <t>DG12-98-</t>
  </si>
  <si>
    <t>DG12-117-</t>
  </si>
  <si>
    <t>DG12-30-</t>
  </si>
  <si>
    <t>DG12-33-</t>
  </si>
  <si>
    <t>DG12-24-</t>
  </si>
  <si>
    <t>DG12-42-</t>
  </si>
  <si>
    <t>DG12-94-</t>
  </si>
  <si>
    <t>DG12-32-</t>
  </si>
  <si>
    <t>DG12-76-</t>
  </si>
  <si>
    <t>DG12-47-</t>
  </si>
  <si>
    <t>DG12-29-</t>
  </si>
  <si>
    <t>DG12-14-</t>
  </si>
  <si>
    <t>DG12-72-</t>
  </si>
  <si>
    <t>DG12-25-</t>
  </si>
  <si>
    <t>DG12-87-</t>
  </si>
  <si>
    <t>DG12-74-</t>
  </si>
  <si>
    <t>DG12-102-</t>
  </si>
  <si>
    <t>DG12-61-</t>
  </si>
  <si>
    <t>DG12-12-</t>
  </si>
  <si>
    <t>119028_41</t>
  </si>
  <si>
    <t>119028_25</t>
  </si>
  <si>
    <t>119028_57</t>
  </si>
  <si>
    <t>119028_43</t>
  </si>
  <si>
    <t>119028_38</t>
  </si>
  <si>
    <t>119028_64</t>
  </si>
  <si>
    <t>119028_97</t>
  </si>
  <si>
    <t>119028_96</t>
  </si>
  <si>
    <t>119028_51</t>
  </si>
  <si>
    <t>119028_68</t>
  </si>
  <si>
    <t>119028_77</t>
  </si>
  <si>
    <t>119028_116</t>
  </si>
  <si>
    <t>119028_65</t>
  </si>
  <si>
    <t>119028_84</t>
  </si>
  <si>
    <t>119028_46</t>
  </si>
  <si>
    <t>119028_106</t>
  </si>
  <si>
    <t>119028_71</t>
  </si>
  <si>
    <t>119028_83</t>
  </si>
  <si>
    <t>119028_50</t>
  </si>
  <si>
    <t>119028_72</t>
  </si>
  <si>
    <t>119028_33</t>
  </si>
  <si>
    <t>119028_28</t>
  </si>
  <si>
    <t>119028_82</t>
  </si>
  <si>
    <t>119028_69</t>
  </si>
  <si>
    <t>119028_44</t>
  </si>
  <si>
    <t>119028_109</t>
  </si>
  <si>
    <t>119028_61</t>
  </si>
  <si>
    <t>119028_94</t>
  </si>
  <si>
    <t>119028_4</t>
  </si>
  <si>
    <t>119028_60</t>
  </si>
  <si>
    <t>119028_103</t>
  </si>
  <si>
    <t>119028_22</t>
  </si>
  <si>
    <t>119028_115</t>
  </si>
  <si>
    <t>119028_118</t>
  </si>
  <si>
    <t>119028_55</t>
  </si>
  <si>
    <t>119028_113</t>
  </si>
  <si>
    <t>119028_26</t>
  </si>
  <si>
    <t>119028_19</t>
  </si>
  <si>
    <t>119028_91</t>
  </si>
  <si>
    <t>119028_30</t>
  </si>
  <si>
    <t>119028_36</t>
  </si>
  <si>
    <t>119028_16</t>
  </si>
  <si>
    <t>119028_45</t>
  </si>
  <si>
    <t>119028_70</t>
  </si>
  <si>
    <t>119028_101</t>
  </si>
  <si>
    <t>119028_12</t>
  </si>
  <si>
    <t>119028_75</t>
  </si>
  <si>
    <t>119028_87</t>
  </si>
  <si>
    <t>119028_10</t>
  </si>
  <si>
    <t>119028_48</t>
  </si>
  <si>
    <t>119028_5</t>
  </si>
  <si>
    <t>119028_99</t>
  </si>
  <si>
    <t>119028_105</t>
  </si>
  <si>
    <t>119028_100</t>
  </si>
  <si>
    <t>119028_98</t>
  </si>
  <si>
    <t>119028_81</t>
  </si>
  <si>
    <t>119028_90</t>
  </si>
  <si>
    <t>119028_39</t>
  </si>
  <si>
    <t>119028_76</t>
  </si>
  <si>
    <t>119028_89</t>
  </si>
  <si>
    <t>119028_111</t>
  </si>
  <si>
    <t>119028_108</t>
  </si>
  <si>
    <t>119028_32</t>
  </si>
  <si>
    <t>119028_1</t>
  </si>
  <si>
    <t>119028_11</t>
  </si>
  <si>
    <t>119028_17</t>
  </si>
  <si>
    <t>119028_58</t>
  </si>
  <si>
    <t>119028_53</t>
  </si>
  <si>
    <t>119028_73</t>
  </si>
  <si>
    <t>119028_62</t>
  </si>
  <si>
    <t>119028_86</t>
  </si>
  <si>
    <t>119028_117</t>
  </si>
  <si>
    <t>119028_13</t>
  </si>
  <si>
    <t>119028_2</t>
  </si>
  <si>
    <t>119028_23</t>
  </si>
  <si>
    <t>119028_59</t>
  </si>
  <si>
    <t>119028_114</t>
  </si>
  <si>
    <t>119028_37</t>
  </si>
  <si>
    <t>119028_49</t>
  </si>
  <si>
    <t>119028_107</t>
  </si>
  <si>
    <t>119028_88</t>
  </si>
  <si>
    <t>119028_24</t>
  </si>
  <si>
    <t>119028_93</t>
  </si>
  <si>
    <t>119028_40</t>
  </si>
  <si>
    <t>119028_8</t>
  </si>
  <si>
    <t>119028_67</t>
  </si>
  <si>
    <t>119028_3</t>
  </si>
  <si>
    <t>119028_119</t>
  </si>
  <si>
    <t>119028_78</t>
  </si>
  <si>
    <t>119028_112</t>
  </si>
  <si>
    <t>119028_74</t>
  </si>
  <si>
    <t>119028_9</t>
  </si>
  <si>
    <t>119028_102</t>
  </si>
  <si>
    <t>119028_31</t>
  </si>
  <si>
    <t>119028_80</t>
  </si>
  <si>
    <t>119028_6</t>
  </si>
  <si>
    <t>119028_7</t>
  </si>
  <si>
    <t>119028_92</t>
  </si>
  <si>
    <t>119028_27</t>
  </si>
  <si>
    <t>119028_21</t>
  </si>
  <si>
    <t>119028_18</t>
  </si>
  <si>
    <t>119028_14</t>
  </si>
  <si>
    <t>119028_63</t>
  </si>
  <si>
    <t>119028_34</t>
  </si>
  <si>
    <t>119028_15</t>
  </si>
  <si>
    <t>119028_95</t>
  </si>
  <si>
    <t>119028_120</t>
  </si>
  <si>
    <t>119028_47</t>
  </si>
  <si>
    <t>119028_42</t>
  </si>
  <si>
    <t>119028_52</t>
  </si>
  <si>
    <t>119028_56</t>
  </si>
  <si>
    <t>119028_35</t>
  </si>
  <si>
    <t>119028_110</t>
  </si>
  <si>
    <t>119028_29</t>
  </si>
  <si>
    <t>119028_85</t>
  </si>
  <si>
    <t>119028_54</t>
  </si>
  <si>
    <t>119028_79</t>
  </si>
  <si>
    <t>119028_104</t>
  </si>
  <si>
    <t>119028_66</t>
  </si>
  <si>
    <t>EM28-99-</t>
  </si>
  <si>
    <t>EM28-47-</t>
  </si>
  <si>
    <t>EM28-101-</t>
  </si>
  <si>
    <t>EM28-31-</t>
  </si>
  <si>
    <t>EM28-108-</t>
  </si>
  <si>
    <t>EM28-57-</t>
  </si>
  <si>
    <t>EM28-82-</t>
  </si>
  <si>
    <t>EM28-92-</t>
  </si>
  <si>
    <t>EM28-72-</t>
  </si>
  <si>
    <t>EM28-54-</t>
  </si>
  <si>
    <t>EM28-89-</t>
  </si>
  <si>
    <t>EM28-12-</t>
  </si>
  <si>
    <t>EM28-21-</t>
  </si>
  <si>
    <t>EM28-79-</t>
  </si>
  <si>
    <t>EM28-19-</t>
  </si>
  <si>
    <t>EM28-90-</t>
  </si>
  <si>
    <t>EM28-84-</t>
  </si>
  <si>
    <t>EM28-56-</t>
  </si>
  <si>
    <t>EM28-59-</t>
  </si>
  <si>
    <t>EM28-75-</t>
  </si>
  <si>
    <t>EM28-45-</t>
  </si>
  <si>
    <t>EM28-95-</t>
  </si>
  <si>
    <t>EM28-03-</t>
  </si>
  <si>
    <t>EM28-77-</t>
  </si>
  <si>
    <t>EM28-15-</t>
  </si>
  <si>
    <t>EM28-11-</t>
  </si>
  <si>
    <t>EM28-33-</t>
  </si>
  <si>
    <t>EM28-13-</t>
  </si>
  <si>
    <t>EM28-70-</t>
  </si>
  <si>
    <t>EM28-58-</t>
  </si>
  <si>
    <t>EM28-41-</t>
  </si>
  <si>
    <t>EM28-44-</t>
  </si>
  <si>
    <t>EM28-53-</t>
  </si>
  <si>
    <t>EM28-62-</t>
  </si>
  <si>
    <t>EM28-68-</t>
  </si>
  <si>
    <t>EM28-109-</t>
  </si>
  <si>
    <t>EM28-105-</t>
  </si>
  <si>
    <t>EM28-85-</t>
  </si>
  <si>
    <t>EM28-25-</t>
  </si>
  <si>
    <t>EM28-65-</t>
  </si>
  <si>
    <t>EM28-35-</t>
  </si>
  <si>
    <t>EM28-07-</t>
  </si>
  <si>
    <t>EM28-81-</t>
  </si>
  <si>
    <t>EM28-103-</t>
  </si>
  <si>
    <t>EM28-66-</t>
  </si>
  <si>
    <t>EM28-36-</t>
  </si>
  <si>
    <t>EM28-93-</t>
  </si>
  <si>
    <t>EM28-08-</t>
  </si>
  <si>
    <t>EM28-67-</t>
  </si>
  <si>
    <t>EM28-106-</t>
  </si>
  <si>
    <t>EM28-64-</t>
  </si>
  <si>
    <t>EM28-16-</t>
  </si>
  <si>
    <t>EM28-37-</t>
  </si>
  <si>
    <t>EM28-80-</t>
  </si>
  <si>
    <t>EM28-32-</t>
  </si>
  <si>
    <t>EM28-26-</t>
  </si>
  <si>
    <t>EM28-111-</t>
  </si>
  <si>
    <t>EM28-87-</t>
  </si>
  <si>
    <t>EM28-01-</t>
  </si>
  <si>
    <t>EM28-34-</t>
  </si>
  <si>
    <t>EM28-86-</t>
  </si>
  <si>
    <t>EM28-78-</t>
  </si>
  <si>
    <t>EM28-23-</t>
  </si>
  <si>
    <t>EM28-05-</t>
  </si>
  <si>
    <t>EM28-10-</t>
  </si>
  <si>
    <t>EM28-48-</t>
  </si>
  <si>
    <t>EM28-104-</t>
  </si>
  <si>
    <t>EM28-02-</t>
  </si>
  <si>
    <t>EM28-100-</t>
  </si>
  <si>
    <t>EM28-28-</t>
  </si>
  <si>
    <t>EM28-107-</t>
  </si>
  <si>
    <t>EM28-06-</t>
  </si>
  <si>
    <t>EM28-17-</t>
  </si>
  <si>
    <t>EM28-40-</t>
  </si>
  <si>
    <t>EM28-42-</t>
  </si>
  <si>
    <t>EM28-09-</t>
  </si>
  <si>
    <t>EM28-114-</t>
  </si>
  <si>
    <t>EM28-97-</t>
  </si>
  <si>
    <t>EM28-39-</t>
  </si>
  <si>
    <t>EM28-88-</t>
  </si>
  <si>
    <t>EM28-61-</t>
  </si>
  <si>
    <t>EM28-20-</t>
  </si>
  <si>
    <t>EM28-24-</t>
  </si>
  <si>
    <t>EM28-49-</t>
  </si>
  <si>
    <t>EM28-71-</t>
  </si>
  <si>
    <t>EM28-43-</t>
  </si>
  <si>
    <t>EM28-18-</t>
  </si>
  <si>
    <t>EM28-83-</t>
  </si>
  <si>
    <t>EM28-115-</t>
  </si>
  <si>
    <t>EM28-22-</t>
  </si>
  <si>
    <t>EM28-74-</t>
  </si>
  <si>
    <t>EM28-94-</t>
  </si>
  <si>
    <t>EM28-50-</t>
  </si>
  <si>
    <t>EM28-52-</t>
  </si>
  <si>
    <t>EM28-102-</t>
  </si>
  <si>
    <t>EM28-30-</t>
  </si>
  <si>
    <t>EM28-73-</t>
  </si>
  <si>
    <t>EM28-55-</t>
  </si>
  <si>
    <t>EM28-96-</t>
  </si>
  <si>
    <t>EM28-98-</t>
  </si>
  <si>
    <t>EM28-04-</t>
  </si>
  <si>
    <t>EM28-51-</t>
  </si>
  <si>
    <t>EM28-112-</t>
  </si>
  <si>
    <t>EM28-14-</t>
  </si>
  <si>
    <t>EM28-29-</t>
  </si>
  <si>
    <t>EM28-110-</t>
  </si>
  <si>
    <t>EM28-46-</t>
  </si>
  <si>
    <t>EM28-27-</t>
  </si>
  <si>
    <t>EM28-38-</t>
  </si>
  <si>
    <t>EM28-69-</t>
  </si>
  <si>
    <t>EM28-76-</t>
  </si>
  <si>
    <t>EM28-91-</t>
  </si>
  <si>
    <t>EM28-113-</t>
  </si>
  <si>
    <t>EM28-60-</t>
  </si>
  <si>
    <t>EM28-63-</t>
  </si>
  <si>
    <t>DGA14_MN_121_040</t>
  </si>
  <si>
    <t>DGA14_MN_121_088</t>
  </si>
  <si>
    <t>DGA14_MN_121_091</t>
  </si>
  <si>
    <t>DGA14_MN_121_073</t>
  </si>
  <si>
    <t>DGA14_MN_121_074</t>
  </si>
  <si>
    <t>DGA14_MN_121_076</t>
  </si>
  <si>
    <t>DGA14_MN_121_075</t>
  </si>
  <si>
    <t>DGA14_MN_121_067</t>
  </si>
  <si>
    <t>DGA14_MN_121_070</t>
  </si>
  <si>
    <t>DGA14_MN_121_039</t>
  </si>
  <si>
    <t>DGA14_MN_121_087</t>
  </si>
  <si>
    <t>DGA14_MN_121_062</t>
  </si>
  <si>
    <t>DGA14_MN_121_025</t>
  </si>
  <si>
    <t>DGA14_MN_121_055</t>
  </si>
  <si>
    <t>DGA14_MN_121_016</t>
  </si>
  <si>
    <t>DGA14_MN_121_071</t>
  </si>
  <si>
    <t>DGA14_MN_121_027</t>
  </si>
  <si>
    <t>DGA14_MN_121_036</t>
  </si>
  <si>
    <t>DGA14_MN_121_064</t>
  </si>
  <si>
    <t>DGA14_MN_121_014</t>
  </si>
  <si>
    <t>DGA14_MN_121_065</t>
  </si>
  <si>
    <t>DGA14_MN_121_081</t>
  </si>
  <si>
    <t>DGA14_MN_121_079</t>
  </si>
  <si>
    <t>DGA14_MN_121_049</t>
  </si>
  <si>
    <t>DGA14_MN_121_047</t>
  </si>
  <si>
    <t>DGA14_MN_121_066</t>
  </si>
  <si>
    <t>DGA14_MN_121_085</t>
  </si>
  <si>
    <t>DGA14_MN_121_044</t>
  </si>
  <si>
    <t>DGA14_MN_121_006</t>
  </si>
  <si>
    <t>DGA14_MN_121_048</t>
  </si>
  <si>
    <t>DGA14_MN_121_045</t>
  </si>
  <si>
    <t>DGA14_MN_121_041</t>
  </si>
  <si>
    <t>DGA14_MN_121_038</t>
  </si>
  <si>
    <t>DGA14_MN_121_007</t>
  </si>
  <si>
    <t>DGA14_MN_121_012</t>
  </si>
  <si>
    <t>DGA14_MN_121_090</t>
  </si>
  <si>
    <t>DGA14_MN_121_063</t>
  </si>
  <si>
    <t>DGA14_MN_121_050</t>
  </si>
  <si>
    <t>DGA14_MN_121_035</t>
  </si>
  <si>
    <t>DGA14_MN_121_057</t>
  </si>
  <si>
    <t>DGA14_MN_121_078</t>
  </si>
  <si>
    <t>DGA14_MN_121_052</t>
  </si>
  <si>
    <t>DGA14_MN_121_028</t>
  </si>
  <si>
    <t>DGA14_MN_121_053</t>
  </si>
  <si>
    <t>DGA14_MN_121_030</t>
  </si>
  <si>
    <t>DGA14_MN_121_084</t>
  </si>
  <si>
    <t>DGA14_MN_121_077</t>
  </si>
  <si>
    <t>DGA14_MN_121_042</t>
  </si>
  <si>
    <t>DGA14_MN_121_046</t>
  </si>
  <si>
    <t>DGA14_MN_121_082</t>
  </si>
  <si>
    <t>DGA14_MN_121_009</t>
  </si>
  <si>
    <t>DGA14_MN_121_013</t>
  </si>
  <si>
    <t>DGA14_MN_121_024</t>
  </si>
  <si>
    <t>DGA14_MN_121_089</t>
  </si>
  <si>
    <t>DGA14_MN_121_043</t>
  </si>
  <si>
    <t>DGA14_MN_121_021</t>
  </si>
  <si>
    <t>DGA14_MN_121_015</t>
  </si>
  <si>
    <t>DGA14_MN_121_058</t>
  </si>
  <si>
    <t>DGA14_MN_121_018</t>
  </si>
  <si>
    <t>DGA14_MN_121_051</t>
  </si>
  <si>
    <t>DGA14_MN_121_023</t>
  </si>
  <si>
    <t>DGA14_MN_121_068</t>
  </si>
  <si>
    <t>DGA14_MN_121_003</t>
  </si>
  <si>
    <t>DGA14_MN_121_026</t>
  </si>
  <si>
    <t>DGA14_MN_121_037</t>
  </si>
  <si>
    <t>DGA14_MN_121_022</t>
  </si>
  <si>
    <t>DGA14_MN_121_008</t>
  </si>
  <si>
    <t>DGA14_MN_121_060</t>
  </si>
  <si>
    <t>DGA14_MN_121_020</t>
  </si>
  <si>
    <t>DGA14_MN_121_080</t>
  </si>
  <si>
    <t>DGA14_MN_121_069</t>
  </si>
  <si>
    <t>DGA14_MN_121_056</t>
  </si>
  <si>
    <t>DGA14_MN_121_086</t>
  </si>
  <si>
    <t>DGA14_MN_121_001</t>
  </si>
  <si>
    <t>DGA14_MN_121_002</t>
  </si>
  <si>
    <t>DGA14_MN_121_010</t>
  </si>
  <si>
    <t>DGA14_MN_121_029</t>
  </si>
  <si>
    <t>DGA14_MN_121_004</t>
  </si>
  <si>
    <t>DGA14_MN_121_011</t>
  </si>
  <si>
    <t>DGA14_MN_121_005</t>
  </si>
  <si>
    <t>DGA14_MN_121_032</t>
  </si>
  <si>
    <t>DGA14_MN_121_034</t>
  </si>
  <si>
    <t>DGA14_MN_121_072</t>
  </si>
  <si>
    <t>DGA14_MN_121_059</t>
  </si>
  <si>
    <t>DGA14_MN_121_061</t>
  </si>
  <si>
    <t>DGA14_MN_121_083</t>
  </si>
  <si>
    <t>DGA14_MN_121_017</t>
  </si>
  <si>
    <t>DGA14_MN_121_031</t>
  </si>
  <si>
    <t>DGA14_MN_121_019</t>
  </si>
  <si>
    <t>DGA14_MN_121_033</t>
  </si>
  <si>
    <t>DGA14_MN_121_054</t>
  </si>
  <si>
    <t>119022-108</t>
  </si>
  <si>
    <t>119022-73</t>
  </si>
  <si>
    <t>119022-42</t>
  </si>
  <si>
    <t>119022-125</t>
  </si>
  <si>
    <t>119022-15</t>
  </si>
  <si>
    <t>119022-116</t>
  </si>
  <si>
    <t>119022-111</t>
  </si>
  <si>
    <t>119022-134</t>
  </si>
  <si>
    <t>119022-89</t>
  </si>
  <si>
    <t>119022-122</t>
  </si>
  <si>
    <t>119022-139</t>
  </si>
  <si>
    <t>119022-130</t>
  </si>
  <si>
    <t>119022-43</t>
  </si>
  <si>
    <t>119022-14</t>
  </si>
  <si>
    <t>119022-83</t>
  </si>
  <si>
    <t>119022-64</t>
  </si>
  <si>
    <t>119022-123</t>
  </si>
  <si>
    <t>119022-92</t>
  </si>
  <si>
    <t>119022-20</t>
  </si>
  <si>
    <t>119022-40</t>
  </si>
  <si>
    <t>119022-18</t>
  </si>
  <si>
    <t>119022-6</t>
  </si>
  <si>
    <t>119022-65</t>
  </si>
  <si>
    <t>119022-66</t>
  </si>
  <si>
    <t>119022-109</t>
  </si>
  <si>
    <t>119022-107</t>
  </si>
  <si>
    <t>119022-29</t>
  </si>
  <si>
    <t>119022-26</t>
  </si>
  <si>
    <t>119022-8</t>
  </si>
  <si>
    <t>119022-31</t>
  </si>
  <si>
    <t>119022-115</t>
  </si>
  <si>
    <t>119022-102</t>
  </si>
  <si>
    <t>119022-53</t>
  </si>
  <si>
    <t>119022-47</t>
  </si>
  <si>
    <t>119022-30</t>
  </si>
  <si>
    <t>119022-69</t>
  </si>
  <si>
    <t>119022-145</t>
  </si>
  <si>
    <t>119022-101</t>
  </si>
  <si>
    <t>119022-120</t>
  </si>
  <si>
    <t>119022-75</t>
  </si>
  <si>
    <t>119022-110</t>
  </si>
  <si>
    <t>119022-11</t>
  </si>
  <si>
    <t>119022-41</t>
  </si>
  <si>
    <t>119022-100</t>
  </si>
  <si>
    <t>119022-68</t>
  </si>
  <si>
    <t>119022-33</t>
  </si>
  <si>
    <t>119022-117</t>
  </si>
  <si>
    <t>119022-148</t>
  </si>
  <si>
    <t>119022-48</t>
  </si>
  <si>
    <t>119022-98</t>
  </si>
  <si>
    <t>119022-49</t>
  </si>
  <si>
    <t>119022-86</t>
  </si>
  <si>
    <t>119022-74</t>
  </si>
  <si>
    <t>119022-54</t>
  </si>
  <si>
    <t>119022-76</t>
  </si>
  <si>
    <t>119022-82</t>
  </si>
  <si>
    <t>119022-106</t>
  </si>
  <si>
    <t>119022-91</t>
  </si>
  <si>
    <t>119022-38</t>
  </si>
  <si>
    <t>119022-79</t>
  </si>
  <si>
    <t>119022-95</t>
  </si>
  <si>
    <t>119022-90</t>
  </si>
  <si>
    <t>119022-16</t>
  </si>
  <si>
    <t>119022-5</t>
  </si>
  <si>
    <t>119022-27</t>
  </si>
  <si>
    <t>119022-50</t>
  </si>
  <si>
    <t>119022-129</t>
  </si>
  <si>
    <t>119022-150</t>
  </si>
  <si>
    <t>119022-77</t>
  </si>
  <si>
    <t>119022-135</t>
  </si>
  <si>
    <t>119022-39</t>
  </si>
  <si>
    <t>119022-51</t>
  </si>
  <si>
    <t>119022-85</t>
  </si>
  <si>
    <t>119022-46</t>
  </si>
  <si>
    <t>119022-17</t>
  </si>
  <si>
    <t>119022-141</t>
  </si>
  <si>
    <t>119022-127</t>
  </si>
  <si>
    <t>119022-136</t>
  </si>
  <si>
    <t>119022-34</t>
  </si>
  <si>
    <t>119022-84</t>
  </si>
  <si>
    <t>119022-70</t>
  </si>
  <si>
    <t>119022-19</t>
  </si>
  <si>
    <t>119022-143</t>
  </si>
  <si>
    <t>119022-72</t>
  </si>
  <si>
    <t>119022-12</t>
  </si>
  <si>
    <t>119022-28</t>
  </si>
  <si>
    <t>119022-88</t>
  </si>
  <si>
    <t>119022-13</t>
  </si>
  <si>
    <t>119022-87</t>
  </si>
  <si>
    <t>119022-112</t>
  </si>
  <si>
    <t>119022-32</t>
  </si>
  <si>
    <t>119022-55</t>
  </si>
  <si>
    <t>119022-22</t>
  </si>
  <si>
    <t>119022-24</t>
  </si>
  <si>
    <t>119022-96</t>
  </si>
  <si>
    <t>119022-146</t>
  </si>
  <si>
    <t>119022-124</t>
  </si>
  <si>
    <t>119022-56</t>
  </si>
  <si>
    <t>119022-113</t>
  </si>
  <si>
    <t>119022-114</t>
  </si>
  <si>
    <t>119022-37</t>
  </si>
  <si>
    <t>119022-7</t>
  </si>
  <si>
    <t>119022-149</t>
  </si>
  <si>
    <t>119022-2</t>
  </si>
  <si>
    <t>119022-99</t>
  </si>
  <si>
    <t>119022-21</t>
  </si>
  <si>
    <t>119022-142</t>
  </si>
  <si>
    <t>119022-132</t>
  </si>
  <si>
    <t>119022-63</t>
  </si>
  <si>
    <t>119022-78</t>
  </si>
  <si>
    <t>119022-52</t>
  </si>
  <si>
    <t>119022-57</t>
  </si>
  <si>
    <t>119022-93</t>
  </si>
  <si>
    <t>119022-71</t>
  </si>
  <si>
    <t>119022-119</t>
  </si>
  <si>
    <t>119022-9</t>
  </si>
  <si>
    <t>119022-138</t>
  </si>
  <si>
    <t>119022-3</t>
  </si>
  <si>
    <t>119022-105</t>
  </si>
  <si>
    <t>119022-128</t>
  </si>
  <si>
    <t>119022-97</t>
  </si>
  <si>
    <t>119022-67</t>
  </si>
  <si>
    <t>119022-4</t>
  </si>
  <si>
    <t>119022-137</t>
  </si>
  <si>
    <t>119022-118</t>
  </si>
  <si>
    <t>119022-25</t>
  </si>
  <si>
    <t>119022-144</t>
  </si>
  <si>
    <t>119022-126</t>
  </si>
  <si>
    <t>119022-131</t>
  </si>
  <si>
    <t>119022-104</t>
  </si>
  <si>
    <t>119022-80</t>
  </si>
  <si>
    <t>119022-94</t>
  </si>
  <si>
    <t>119022-45</t>
  </si>
  <si>
    <t>119022-10</t>
  </si>
  <si>
    <t>119022-81</t>
  </si>
  <si>
    <t>119022-103</t>
  </si>
  <si>
    <t>119022-140</t>
  </si>
  <si>
    <t>119022-133</t>
  </si>
  <si>
    <t>119022-36</t>
  </si>
  <si>
    <t>119022-1</t>
  </si>
  <si>
    <t>119022-44</t>
  </si>
  <si>
    <t>119022-121</t>
  </si>
  <si>
    <t>119022-147</t>
  </si>
  <si>
    <t>119040-17</t>
  </si>
  <si>
    <t>119040-1</t>
  </si>
  <si>
    <t>119040-19</t>
  </si>
  <si>
    <t>119040-30</t>
  </si>
  <si>
    <t>119040-141</t>
  </si>
  <si>
    <t>119040-34</t>
  </si>
  <si>
    <t>119040-59</t>
  </si>
  <si>
    <t>119040-7</t>
  </si>
  <si>
    <t>119040-21</t>
  </si>
  <si>
    <t>119040-24</t>
  </si>
  <si>
    <t>119040-84</t>
  </si>
  <si>
    <t>119040-67</t>
  </si>
  <si>
    <t>119040-22</t>
  </si>
  <si>
    <t>119040-39</t>
  </si>
  <si>
    <t>119040-99</t>
  </si>
  <si>
    <t>119040-114</t>
  </si>
  <si>
    <t>119040-103</t>
  </si>
  <si>
    <t>119040-4</t>
  </si>
  <si>
    <t>119040-116</t>
  </si>
  <si>
    <t>119040-127</t>
  </si>
  <si>
    <t>119040-96</t>
  </si>
  <si>
    <t>119040-85</t>
  </si>
  <si>
    <t>119040-83</t>
  </si>
  <si>
    <t>119040-110</t>
  </si>
  <si>
    <t>119040-121</t>
  </si>
  <si>
    <t>119040-44</t>
  </si>
  <si>
    <t>119040-130</t>
  </si>
  <si>
    <t>119040-42</t>
  </si>
  <si>
    <t>119040-61</t>
  </si>
  <si>
    <t>119040-91</t>
  </si>
  <si>
    <t>119040-54</t>
  </si>
  <si>
    <t>119040-115</t>
  </si>
  <si>
    <t>119040-87</t>
  </si>
  <si>
    <t>119040-128</t>
  </si>
  <si>
    <t>119040-140</t>
  </si>
  <si>
    <t>119040-41</t>
  </si>
  <si>
    <t>119040-104</t>
  </si>
  <si>
    <t>119040-79</t>
  </si>
  <si>
    <t>119040-122</t>
  </si>
  <si>
    <t>119040-70</t>
  </si>
  <si>
    <t>119040-29</t>
  </si>
  <si>
    <t>119040-16</t>
  </si>
  <si>
    <t>119040-123</t>
  </si>
  <si>
    <t>119040-32</t>
  </si>
  <si>
    <t>119040-138</t>
  </si>
  <si>
    <t>119040-111</t>
  </si>
  <si>
    <t>119040-71</t>
  </si>
  <si>
    <t>119040-14</t>
  </si>
  <si>
    <t>119040-90</t>
  </si>
  <si>
    <t>119040-47</t>
  </si>
  <si>
    <t>119040-78</t>
  </si>
  <si>
    <t>119040-136</t>
  </si>
  <si>
    <t>119040-40</t>
  </si>
  <si>
    <t>119040-12</t>
  </si>
  <si>
    <t>119040-81</t>
  </si>
  <si>
    <t>119040-131</t>
  </si>
  <si>
    <t>119040-65</t>
  </si>
  <si>
    <t>119040-94</t>
  </si>
  <si>
    <t>119040-45</t>
  </si>
  <si>
    <t>119040-86</t>
  </si>
  <si>
    <t>119040-95</t>
  </si>
  <si>
    <t>119040-37</t>
  </si>
  <si>
    <t>119040-46</t>
  </si>
  <si>
    <t>119040-35</t>
  </si>
  <si>
    <t>119040-147</t>
  </si>
  <si>
    <t>119040-38</t>
  </si>
  <si>
    <t>119040-106</t>
  </si>
  <si>
    <t>119040-133</t>
  </si>
  <si>
    <t>119040-146</t>
  </si>
  <si>
    <t>119040-113</t>
  </si>
  <si>
    <t>119040-60</t>
  </si>
  <si>
    <t>119040-27</t>
  </si>
  <si>
    <t>119040-143</t>
  </si>
  <si>
    <t>119040-63</t>
  </si>
  <si>
    <t>119040-77</t>
  </si>
  <si>
    <t>119040-55</t>
  </si>
  <si>
    <t>119040-150</t>
  </si>
  <si>
    <t>119040-2</t>
  </si>
  <si>
    <t>119040-13</t>
  </si>
  <si>
    <t>119040-6</t>
  </si>
  <si>
    <t>119040-33</t>
  </si>
  <si>
    <t>119040-50</t>
  </si>
  <si>
    <t>119040-58</t>
  </si>
  <si>
    <t>119040-149</t>
  </si>
  <si>
    <t>119040-76</t>
  </si>
  <si>
    <t>119040-18</t>
  </si>
  <si>
    <t>119040-57</t>
  </si>
  <si>
    <t>119040-145</t>
  </si>
  <si>
    <t>119040-139</t>
  </si>
  <si>
    <t>119040-118</t>
  </si>
  <si>
    <t>119040-66</t>
  </si>
  <si>
    <t>119040-148</t>
  </si>
  <si>
    <t>119040-102</t>
  </si>
  <si>
    <t>119040-56</t>
  </si>
  <si>
    <t>119040-20</t>
  </si>
  <si>
    <t>119040-48</t>
  </si>
  <si>
    <t>119040-80</t>
  </si>
  <si>
    <t>119040-142</t>
  </si>
  <si>
    <t>119040-117</t>
  </si>
  <si>
    <t>119040-74</t>
  </si>
  <si>
    <t>119040-97</t>
  </si>
  <si>
    <t>119040-28</t>
  </si>
  <si>
    <t>119040-36</t>
  </si>
  <si>
    <t>119040-82</t>
  </si>
  <si>
    <t>119040-31</t>
  </si>
  <si>
    <t>119040-135</t>
  </si>
  <si>
    <t>119040-43</t>
  </si>
  <si>
    <t>119040-53</t>
  </si>
  <si>
    <t>119040-109</t>
  </si>
  <si>
    <t>119040-98</t>
  </si>
  <si>
    <t>119040-107</t>
  </si>
  <si>
    <t>119040-9</t>
  </si>
  <si>
    <t>119040-108</t>
  </si>
  <si>
    <t>119040-51</t>
  </si>
  <si>
    <t>119040-92</t>
  </si>
  <si>
    <t>119040-124</t>
  </si>
  <si>
    <t>119040-8</t>
  </si>
  <si>
    <t>119040-125</t>
  </si>
  <si>
    <t>119040-69</t>
  </si>
  <si>
    <t>119040-5</t>
  </si>
  <si>
    <t>119040-126</t>
  </si>
  <si>
    <t>119040-132</t>
  </si>
  <si>
    <t>119040-93</t>
  </si>
  <si>
    <t>119040-49</t>
  </si>
  <si>
    <t>119040-112</t>
  </si>
  <si>
    <t>119040-3</t>
  </si>
  <si>
    <t>119040-75</t>
  </si>
  <si>
    <t>119040-10</t>
  </si>
  <si>
    <t>119040-105</t>
  </si>
  <si>
    <t>119040-62</t>
  </si>
  <si>
    <t>119040-144</t>
  </si>
  <si>
    <t>119040-134</t>
  </si>
  <si>
    <t>119040-26</t>
  </si>
  <si>
    <t>119040-23</t>
  </si>
  <si>
    <t>119040-89</t>
  </si>
  <si>
    <t>119040-101</t>
  </si>
  <si>
    <t>119040-68</t>
  </si>
  <si>
    <t>119040-100</t>
  </si>
  <si>
    <t>119040-73</t>
  </si>
  <si>
    <t>119040-52</t>
  </si>
  <si>
    <t>119040-119</t>
  </si>
  <si>
    <t>119040-120</t>
  </si>
  <si>
    <t>119040-72</t>
  </si>
  <si>
    <t>119040-64</t>
  </si>
  <si>
    <t>119040-88</t>
  </si>
  <si>
    <t>119040-15</t>
  </si>
  <si>
    <t>119040-11</t>
  </si>
  <si>
    <t>119040-25</t>
  </si>
  <si>
    <t>119040-129</t>
  </si>
  <si>
    <t>197878-133</t>
  </si>
  <si>
    <t>197878-99</t>
  </si>
  <si>
    <t>197878-62</t>
  </si>
  <si>
    <t>197878-48</t>
  </si>
  <si>
    <t>197878-16</t>
  </si>
  <si>
    <t>197878-102</t>
  </si>
  <si>
    <t>197878-35</t>
  </si>
  <si>
    <t>197878-119</t>
  </si>
  <si>
    <t>197878-145</t>
  </si>
  <si>
    <t>197878-5</t>
  </si>
  <si>
    <t>197878-9</t>
  </si>
  <si>
    <t>197878-72</t>
  </si>
  <si>
    <t>197878-149</t>
  </si>
  <si>
    <t>197878-129</t>
  </si>
  <si>
    <t>197878-68</t>
  </si>
  <si>
    <t>197878-113</t>
  </si>
  <si>
    <t>197878-93</t>
  </si>
  <si>
    <t>197878-28</t>
  </si>
  <si>
    <t>197878-12</t>
  </si>
  <si>
    <t>197878-86</t>
  </si>
  <si>
    <t>197878-47</t>
  </si>
  <si>
    <t>197878-150</t>
  </si>
  <si>
    <t>197878-17</t>
  </si>
  <si>
    <t>197878-63</t>
  </si>
  <si>
    <t>197878-8</t>
  </si>
  <si>
    <t>197878-96</t>
  </si>
  <si>
    <t>197878-2</t>
  </si>
  <si>
    <t>197878-20</t>
  </si>
  <si>
    <t>197878-51</t>
  </si>
  <si>
    <t>197878-82</t>
  </si>
  <si>
    <t>197878-64</t>
  </si>
  <si>
    <t>197878-95</t>
  </si>
  <si>
    <t>197878-134</t>
  </si>
  <si>
    <t>197878-61</t>
  </si>
  <si>
    <t>197878-3</t>
  </si>
  <si>
    <t>197878-49</t>
  </si>
  <si>
    <t>197878-10</t>
  </si>
  <si>
    <t>197878-117</t>
  </si>
  <si>
    <t>197878-57</t>
  </si>
  <si>
    <t>197878-83</t>
  </si>
  <si>
    <t>197878-112</t>
  </si>
  <si>
    <t>197878-74</t>
  </si>
  <si>
    <t>197878-37</t>
  </si>
  <si>
    <t>197878-91</t>
  </si>
  <si>
    <t>197878-116</t>
  </si>
  <si>
    <t>197878-21</t>
  </si>
  <si>
    <t>197878-73</t>
  </si>
  <si>
    <t>197878-4</t>
  </si>
  <si>
    <t>197878-38</t>
  </si>
  <si>
    <t>197878-130</t>
  </si>
  <si>
    <t>197878-76</t>
  </si>
  <si>
    <t>197878-77</t>
  </si>
  <si>
    <t>197878-125</t>
  </si>
  <si>
    <t>197878-22</t>
  </si>
  <si>
    <t>197878-45</t>
  </si>
  <si>
    <t>197878-15</t>
  </si>
  <si>
    <t>197878-24</t>
  </si>
  <si>
    <t>197878-29</t>
  </si>
  <si>
    <t>197878-87</t>
  </si>
  <si>
    <t>197878-44</t>
  </si>
  <si>
    <t>197878-70</t>
  </si>
  <si>
    <t>197878-50</t>
  </si>
  <si>
    <t>197878-25</t>
  </si>
  <si>
    <t>197878-138</t>
  </si>
  <si>
    <t>197878-75</t>
  </si>
  <si>
    <t>197878-139</t>
  </si>
  <si>
    <t>197878-137</t>
  </si>
  <si>
    <t>197878-54</t>
  </si>
  <si>
    <t>197878-147</t>
  </si>
  <si>
    <t>197878-109</t>
  </si>
  <si>
    <t>197878-107</t>
  </si>
  <si>
    <t>197878-114</t>
  </si>
  <si>
    <t>197878-53</t>
  </si>
  <si>
    <t>197878-79</t>
  </si>
  <si>
    <t>197878-55</t>
  </si>
  <si>
    <t>197878-80</t>
  </si>
  <si>
    <t>197878-135</t>
  </si>
  <si>
    <t>197878-32</t>
  </si>
  <si>
    <t>197878-36</t>
  </si>
  <si>
    <t>197878-43</t>
  </si>
  <si>
    <t>197878-1</t>
  </si>
  <si>
    <t>197878-148</t>
  </si>
  <si>
    <t>197878-124</t>
  </si>
  <si>
    <t>197878-34</t>
  </si>
  <si>
    <t>197878-40</t>
  </si>
  <si>
    <t>197878-115</t>
  </si>
  <si>
    <t>197878-39</t>
  </si>
  <si>
    <t>197878-52</t>
  </si>
  <si>
    <t>197878-60</t>
  </si>
  <si>
    <t>197878-98</t>
  </si>
  <si>
    <t>197878-103</t>
  </si>
  <si>
    <t>197878-121</t>
  </si>
  <si>
    <t>197878-23</t>
  </si>
  <si>
    <t>197878-65</t>
  </si>
  <si>
    <t>197878-92</t>
  </si>
  <si>
    <t>197878-110</t>
  </si>
  <si>
    <t>197878-18</t>
  </si>
  <si>
    <t>197878-6</t>
  </si>
  <si>
    <t>197878-67</t>
  </si>
  <si>
    <t>197878-59</t>
  </si>
  <si>
    <t>197878-78</t>
  </si>
  <si>
    <t>197878-143</t>
  </si>
  <si>
    <t>197878-58</t>
  </si>
  <si>
    <t>197878-127</t>
  </si>
  <si>
    <t>197878-104</t>
  </si>
  <si>
    <t>197878-97</t>
  </si>
  <si>
    <t>197878-33</t>
  </si>
  <si>
    <t>197878-31</t>
  </si>
  <si>
    <t>197878-27</t>
  </si>
  <si>
    <t>197878-105</t>
  </si>
  <si>
    <t>197878-66</t>
  </si>
  <si>
    <t>197878-88</t>
  </si>
  <si>
    <t>197878-146</t>
  </si>
  <si>
    <t>197878-19</t>
  </si>
  <si>
    <t>197878-108</t>
  </si>
  <si>
    <t>197878-84</t>
  </si>
  <si>
    <t>197878-69</t>
  </si>
  <si>
    <t>197878-46</t>
  </si>
  <si>
    <t>197878-122</t>
  </si>
  <si>
    <t>197878-41</t>
  </si>
  <si>
    <t>197878-42</t>
  </si>
  <si>
    <t>197878-56</t>
  </si>
  <si>
    <t>197878-13</t>
  </si>
  <si>
    <t>197878-100</t>
  </si>
  <si>
    <t>197878-14</t>
  </si>
  <si>
    <t>197878-94</t>
  </si>
  <si>
    <t>197878-71</t>
  </si>
  <si>
    <t>197878-144</t>
  </si>
  <si>
    <t>197878-120</t>
  </si>
  <si>
    <t>197878-118</t>
  </si>
  <si>
    <t>197878-89</t>
  </si>
  <si>
    <t>197878-131</t>
  </si>
  <si>
    <t>197878-90</t>
  </si>
  <si>
    <t>197878-123</t>
  </si>
  <si>
    <t>197878-136</t>
  </si>
  <si>
    <t>197878-106</t>
  </si>
  <si>
    <t>197878-7</t>
  </si>
  <si>
    <t>197878-101</t>
  </si>
  <si>
    <t>197878-132</t>
  </si>
  <si>
    <t>197878-111</t>
  </si>
  <si>
    <t>197878-141</t>
  </si>
  <si>
    <t>197878-30</t>
  </si>
  <si>
    <t>197878-142</t>
  </si>
  <si>
    <t>197878-81</t>
  </si>
  <si>
    <t>197878-85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</si>
</sst>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00"/>
    <numFmt numFmtId="167" formatCode="0.0000"/>
  </numFmts>
  <fonts count="27" x14ac:knownFonts="1">
    <font>
      <sz val="11"/>
      <color theme="1"/>
      <name val="Aptos Narrow"/>
      <family val="2"/>
      <scheme val="minor"/>
    </font>
    <font>
      <b/>
      <sz val="9"/>
      <name val="Cambria"/>
      <family val="1"/>
    </font>
    <font>
      <sz val="11"/>
      <color theme="1"/>
      <name val="Cambria"/>
      <family val="1"/>
    </font>
    <font>
      <sz val="10"/>
      <name val="Times New Roman"/>
      <family val="1"/>
    </font>
    <font>
      <b/>
      <sz val="10"/>
      <color theme="1"/>
      <name val="Cambria"/>
      <family val="1"/>
    </font>
    <font>
      <b/>
      <sz val="11"/>
      <color theme="1"/>
      <name val="Cambria"/>
      <family val="1"/>
    </font>
    <font>
      <sz val="10"/>
      <color theme="1"/>
      <name val="Times New Roman"/>
      <family val="1"/>
    </font>
    <font>
      <b/>
      <sz val="10"/>
      <name val="Cambria"/>
      <family val="1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FF0000"/>
      <name val="Times New Roman"/>
      <family val="1"/>
    </font>
    <font>
      <u/>
      <sz val="10"/>
      <color rgb="FFFF0000"/>
      <name val="Times New Roman"/>
      <family val="1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9"/>
      <name val="Times New Roman"/>
      <family val="1"/>
    </font>
    <font>
      <sz val="9"/>
      <color rgb="FFFF0000"/>
      <name val="Times New Roman"/>
      <family val="1"/>
    </font>
    <font>
      <b/>
      <sz val="11"/>
      <name val="Calibri"/>
      <family val="2"/>
    </font>
    <font>
      <b/>
      <sz val="11"/>
      <color rgb="FFFF0000"/>
      <name val="Calibri"/>
      <family val="2"/>
    </font>
    <font>
      <b/>
      <sz val="10"/>
      <color rgb="FFFF0000"/>
      <name val="Arial"/>
      <family val="2"/>
    </font>
    <font>
      <b/>
      <u/>
      <sz val="10"/>
      <color rgb="FFFF0000"/>
      <name val="Times New Roman"/>
      <family val="1"/>
    </font>
    <font>
      <b/>
      <sz val="10"/>
      <color rgb="FFFF0000"/>
      <name val="Times New Roman"/>
      <family val="1"/>
    </font>
    <font>
      <b/>
      <sz val="10"/>
      <color theme="1"/>
      <name val="Arial"/>
      <family val="2"/>
    </font>
    <font>
      <b/>
      <sz val="9"/>
      <name val="Times New Roman"/>
      <family val="1"/>
    </font>
    <font>
      <b/>
      <sz val="9"/>
      <color rgb="FFFF0000"/>
      <name val="Times New Roman"/>
      <family val="1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/>
    <xf numFmtId="0" fontId="5" fillId="0" borderId="0" xfId="0" applyFont="1"/>
    <xf numFmtId="0" fontId="4" fillId="0" borderId="0" xfId="0" applyFont="1"/>
    <xf numFmtId="165" fontId="6" fillId="0" borderId="0" xfId="0" applyNumberFormat="1" applyFont="1" applyAlignment="1">
      <alignment horizontal="center"/>
    </xf>
    <xf numFmtId="0" fontId="7" fillId="0" borderId="0" xfId="0" applyFont="1"/>
    <xf numFmtId="0" fontId="4" fillId="0" borderId="0" xfId="0" applyFont="1" applyAlignment="1">
      <alignment horizontal="center"/>
    </xf>
    <xf numFmtId="0" fontId="10" fillId="0" borderId="0" xfId="0" applyFont="1"/>
    <xf numFmtId="164" fontId="10" fillId="0" borderId="0" xfId="0" applyNumberFormat="1" applyFont="1" applyAlignment="1">
      <alignment horizontal="center"/>
    </xf>
    <xf numFmtId="164" fontId="11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/>
    <xf numFmtId="0" fontId="8" fillId="0" borderId="0" xfId="0" applyFont="1"/>
    <xf numFmtId="165" fontId="14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/>
    </xf>
    <xf numFmtId="167" fontId="16" fillId="0" borderId="0" xfId="0" applyNumberFormat="1" applyFont="1" applyAlignment="1">
      <alignment horizontal="center"/>
    </xf>
    <xf numFmtId="165" fontId="16" fillId="0" borderId="0" xfId="0" applyNumberFormat="1" applyFont="1" applyAlignment="1">
      <alignment horizontal="center"/>
    </xf>
    <xf numFmtId="167" fontId="17" fillId="0" borderId="0" xfId="0" applyNumberFormat="1" applyFont="1" applyAlignment="1">
      <alignment horizontal="center"/>
    </xf>
    <xf numFmtId="165" fontId="17" fillId="0" borderId="0" xfId="0" applyNumberFormat="1" applyFont="1" applyAlignment="1">
      <alignment horizontal="center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9" fillId="0" borderId="0" xfId="0" applyFont="1"/>
    <xf numFmtId="0" fontId="2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C05E0-7B3B-4779-A157-022560951772}">
  <dimension ref="A1:BH151"/>
  <sheetViews>
    <sheetView tabSelected="1" topLeftCell="AL1" zoomScaleNormal="100" workbookViewId="0">
      <pane ySplit="2" topLeftCell="A3" activePane="bottomLeft" state="frozen"/>
      <selection pane="bottomLeft" activeCell="BC7" sqref="BC7"/>
    </sheetView>
  </sheetViews>
  <sheetFormatPr baseColWidth="10" defaultRowHeight="15" x14ac:dyDescent="0.25"/>
  <sheetData>
    <row r="1" spans="1:60" x14ac:dyDescent="0.25">
      <c r="A1" s="6" t="s">
        <v>11</v>
      </c>
      <c r="B1" s="10">
        <v>163706</v>
      </c>
      <c r="C1" s="10"/>
      <c r="D1" s="10"/>
      <c r="E1" s="10"/>
      <c r="F1" s="3"/>
      <c r="G1" s="6" t="s">
        <v>11</v>
      </c>
      <c r="H1" s="10">
        <v>119037</v>
      </c>
      <c r="I1" s="10"/>
      <c r="J1" s="10"/>
      <c r="K1" s="10"/>
      <c r="L1" s="3"/>
      <c r="M1" s="6" t="s">
        <v>11</v>
      </c>
      <c r="N1" s="10" t="s">
        <v>3</v>
      </c>
      <c r="O1" s="10"/>
      <c r="P1" s="10"/>
      <c r="Q1" s="10"/>
      <c r="R1" s="3"/>
      <c r="S1" s="6" t="s">
        <v>11</v>
      </c>
      <c r="T1" s="10" t="s">
        <v>4</v>
      </c>
      <c r="U1" s="10"/>
      <c r="V1" s="10"/>
      <c r="W1" s="10"/>
      <c r="X1" s="3"/>
      <c r="Y1" s="3"/>
      <c r="Z1" s="6" t="s">
        <v>11</v>
      </c>
      <c r="AA1" s="10" t="s">
        <v>5</v>
      </c>
      <c r="AB1" s="10"/>
      <c r="AC1" s="10"/>
      <c r="AD1" s="10"/>
      <c r="AE1" s="3"/>
      <c r="AF1" s="6" t="s">
        <v>11</v>
      </c>
      <c r="AG1" s="10" t="s">
        <v>6</v>
      </c>
      <c r="AH1" s="10"/>
      <c r="AI1" s="10"/>
      <c r="AJ1" s="10"/>
      <c r="AK1" s="3"/>
      <c r="AL1" s="6" t="s">
        <v>11</v>
      </c>
      <c r="AM1" s="10" t="s">
        <v>7</v>
      </c>
      <c r="AN1" s="10"/>
      <c r="AO1" s="10"/>
      <c r="AP1" s="10"/>
      <c r="AQ1" s="3"/>
      <c r="AR1" s="6" t="s">
        <v>11</v>
      </c>
      <c r="AS1" s="10" t="s">
        <v>8</v>
      </c>
      <c r="AT1" s="10"/>
      <c r="AU1" s="10"/>
      <c r="AV1" s="10"/>
      <c r="AW1" s="3"/>
      <c r="AX1" s="6" t="s">
        <v>11</v>
      </c>
      <c r="AY1" s="10" t="s">
        <v>9</v>
      </c>
      <c r="AZ1" s="10"/>
      <c r="BA1" s="10"/>
      <c r="BB1" s="10"/>
      <c r="BC1" s="3"/>
      <c r="BD1" s="6" t="s">
        <v>11</v>
      </c>
      <c r="BE1" s="10" t="s">
        <v>10</v>
      </c>
      <c r="BF1" s="10"/>
      <c r="BG1" s="10"/>
      <c r="BH1" s="10"/>
    </row>
    <row r="2" spans="1:60" x14ac:dyDescent="0.25">
      <c r="B2" s="1" t="s">
        <v>0</v>
      </c>
      <c r="C2" s="1" t="s">
        <v>1</v>
      </c>
      <c r="D2" s="1" t="s">
        <v>2</v>
      </c>
      <c r="E2" s="1" t="s">
        <v>1</v>
      </c>
      <c r="F2" s="1"/>
      <c r="H2" s="1" t="s">
        <v>0</v>
      </c>
      <c r="I2" s="1" t="s">
        <v>1</v>
      </c>
      <c r="J2" s="1" t="s">
        <v>2</v>
      </c>
      <c r="K2" s="1" t="s">
        <v>1</v>
      </c>
      <c r="L2" s="1"/>
      <c r="N2" s="1" t="s">
        <v>0</v>
      </c>
      <c r="O2" s="1" t="s">
        <v>1</v>
      </c>
      <c r="P2" s="1" t="s">
        <v>2</v>
      </c>
      <c r="Q2" s="1" t="s">
        <v>1</v>
      </c>
      <c r="R2" s="1"/>
      <c r="S2" s="5"/>
      <c r="T2" s="1" t="s">
        <v>0</v>
      </c>
      <c r="U2" s="1" t="s">
        <v>1</v>
      </c>
      <c r="V2" s="1" t="s">
        <v>2</v>
      </c>
      <c r="W2" s="1" t="s">
        <v>1</v>
      </c>
      <c r="X2" s="1" t="s">
        <v>97</v>
      </c>
      <c r="Z2" s="1"/>
      <c r="AA2" s="1" t="s">
        <v>0</v>
      </c>
      <c r="AB2" s="1" t="s">
        <v>1</v>
      </c>
      <c r="AC2" s="1" t="s">
        <v>2</v>
      </c>
      <c r="AD2" s="1" t="s">
        <v>1</v>
      </c>
      <c r="AF2" s="1"/>
      <c r="AG2" s="1" t="s">
        <v>0</v>
      </c>
      <c r="AH2" s="1" t="s">
        <v>1</v>
      </c>
      <c r="AI2" s="1" t="s">
        <v>2</v>
      </c>
      <c r="AJ2" s="1" t="s">
        <v>1</v>
      </c>
      <c r="AL2" s="1"/>
      <c r="AM2" s="1" t="s">
        <v>0</v>
      </c>
      <c r="AN2" s="1" t="s">
        <v>1</v>
      </c>
      <c r="AO2" s="1" t="s">
        <v>2</v>
      </c>
      <c r="AP2" s="1" t="s">
        <v>1</v>
      </c>
      <c r="AR2" s="1"/>
      <c r="AS2" s="1" t="s">
        <v>0</v>
      </c>
      <c r="AT2" s="1" t="s">
        <v>1</v>
      </c>
      <c r="AU2" s="1" t="s">
        <v>2</v>
      </c>
      <c r="AV2" s="1" t="s">
        <v>1</v>
      </c>
      <c r="AX2" s="1"/>
      <c r="AY2" s="1" t="s">
        <v>0</v>
      </c>
      <c r="AZ2" s="1" t="s">
        <v>1</v>
      </c>
      <c r="BA2" s="1" t="s">
        <v>2</v>
      </c>
      <c r="BB2" s="1" t="s">
        <v>1</v>
      </c>
      <c r="BD2" s="1"/>
      <c r="BE2" s="1" t="s">
        <v>0</v>
      </c>
      <c r="BF2" s="1" t="s">
        <v>1</v>
      </c>
      <c r="BG2" s="1" t="s">
        <v>2</v>
      </c>
      <c r="BH2" s="1" t="s">
        <v>1</v>
      </c>
    </row>
    <row r="3" spans="1:60" x14ac:dyDescent="0.25">
      <c r="A3" s="9" t="s">
        <v>98</v>
      </c>
      <c r="B3" s="2">
        <v>10.2291869549921</v>
      </c>
      <c r="C3" s="2">
        <v>0.35710462172015101</v>
      </c>
      <c r="D3" s="2">
        <v>5.7735968216165799E-2</v>
      </c>
      <c r="E3" s="2">
        <v>2.8769720302336999E-3</v>
      </c>
      <c r="F3" s="2"/>
      <c r="G3" s="9" t="s">
        <v>193</v>
      </c>
      <c r="H3" s="2">
        <v>5.6606259778108496</v>
      </c>
      <c r="I3" s="2">
        <v>0.17312992197750501</v>
      </c>
      <c r="J3" s="2">
        <v>7.3661526942273806E-2</v>
      </c>
      <c r="K3" s="2">
        <v>4.02876673393075E-3</v>
      </c>
      <c r="L3" s="2"/>
      <c r="M3" s="9" t="s">
        <v>225</v>
      </c>
      <c r="N3" s="2">
        <v>4.8812156886654998</v>
      </c>
      <c r="O3" s="2">
        <v>0.158240854387074</v>
      </c>
      <c r="P3" s="2">
        <v>7.9986749163029502E-2</v>
      </c>
      <c r="Q3" s="2">
        <v>5.2774121343764201E-3</v>
      </c>
      <c r="R3" s="2"/>
      <c r="S3" s="7" t="s">
        <v>12</v>
      </c>
      <c r="T3" s="8">
        <v>2.8972910328842532</v>
      </c>
      <c r="U3" s="4">
        <v>8.746855733059225E-2</v>
      </c>
      <c r="V3" s="4">
        <v>0.12576999999999999</v>
      </c>
      <c r="W3" s="4">
        <v>3.2799999999999999E-3</v>
      </c>
      <c r="X3" s="4">
        <v>0.75700000000000001</v>
      </c>
      <c r="Z3" s="23" t="s">
        <v>395</v>
      </c>
      <c r="AA3" s="17">
        <v>2.1226446748435199</v>
      </c>
      <c r="AB3" s="17">
        <v>6.2208252747414303E-2</v>
      </c>
      <c r="AC3" s="17">
        <v>0.182422117996065</v>
      </c>
      <c r="AD3" s="17">
        <v>9.3939565757713E-4</v>
      </c>
      <c r="AF3" s="28" t="s">
        <v>514</v>
      </c>
      <c r="AG3" s="14">
        <f>1/AA3</f>
        <v>0.47111040856318515</v>
      </c>
      <c r="AH3" s="14">
        <f>2*(AB3/(AA3^2))</f>
        <v>2.7613623434168726E-2</v>
      </c>
      <c r="AI3" s="14">
        <v>0.20910000000000001</v>
      </c>
      <c r="AJ3" s="14">
        <f>AD3*2</f>
        <v>1.87879131515426E-3</v>
      </c>
      <c r="AL3" s="29" t="s">
        <v>629</v>
      </c>
      <c r="AM3" s="19">
        <v>3.272786777941417</v>
      </c>
      <c r="AN3">
        <v>7.0050811741897784E-2</v>
      </c>
      <c r="AO3" s="20">
        <v>0.1116</v>
      </c>
      <c r="AP3">
        <v>3.2599999999999994E-3</v>
      </c>
      <c r="AR3" s="31" t="s">
        <v>725</v>
      </c>
      <c r="AS3">
        <v>1.7227233166445199</v>
      </c>
      <c r="AT3">
        <v>4.0241791943891998E-2</v>
      </c>
      <c r="AU3">
        <v>0.213177882098771</v>
      </c>
      <c r="AV3">
        <v>8.3067114832200599E-4</v>
      </c>
      <c r="AX3" s="31" t="s">
        <v>863</v>
      </c>
      <c r="AY3">
        <v>1.8067293824843</v>
      </c>
      <c r="AZ3">
        <v>3.1449891947105901E-2</v>
      </c>
      <c r="BA3">
        <v>0.19840290469289101</v>
      </c>
      <c r="BB3">
        <v>6.4843251918497301E-4</v>
      </c>
      <c r="BD3" s="31" t="s">
        <v>1012</v>
      </c>
      <c r="BE3">
        <v>1.8236277086333801</v>
      </c>
      <c r="BF3">
        <v>3.2829463137502402E-2</v>
      </c>
      <c r="BG3">
        <v>0.19923251506321599</v>
      </c>
      <c r="BH3">
        <v>5.2864620755749996E-4</v>
      </c>
    </row>
    <row r="4" spans="1:60" x14ac:dyDescent="0.25">
      <c r="A4" s="9" t="s">
        <v>99</v>
      </c>
      <c r="B4" s="2">
        <v>5.2780330910656401</v>
      </c>
      <c r="C4" s="2">
        <v>0.23470169525555901</v>
      </c>
      <c r="D4" s="2">
        <v>7.5779810292324806E-2</v>
      </c>
      <c r="E4" s="2">
        <v>5.7350618477463701E-3</v>
      </c>
      <c r="F4" s="2"/>
      <c r="G4" s="9" t="s">
        <v>194</v>
      </c>
      <c r="H4" s="2">
        <v>6.0446852235452804</v>
      </c>
      <c r="I4" s="2">
        <v>0.25711026952757798</v>
      </c>
      <c r="J4" s="2">
        <v>7.0196108389835907E-2</v>
      </c>
      <c r="K4" s="2">
        <v>3.9233247081664297E-3</v>
      </c>
      <c r="L4" s="2"/>
      <c r="M4" s="9" t="s">
        <v>226</v>
      </c>
      <c r="N4" s="2">
        <v>5.9952867159481702</v>
      </c>
      <c r="O4" s="2">
        <v>0.19224814084877101</v>
      </c>
      <c r="P4" s="2">
        <v>7.1020767391385006E-2</v>
      </c>
      <c r="Q4" s="2">
        <v>2.9937494656669199E-3</v>
      </c>
      <c r="R4" s="2"/>
      <c r="S4" s="7" t="s">
        <v>13</v>
      </c>
      <c r="T4" s="8">
        <v>3.0037246185269737</v>
      </c>
      <c r="U4" s="4">
        <v>8.9862721376092317E-2</v>
      </c>
      <c r="V4" s="4">
        <v>0.125</v>
      </c>
      <c r="W4" s="4">
        <v>3.3600000000000001E-3</v>
      </c>
      <c r="X4" s="4">
        <v>0.74399999999999999</v>
      </c>
      <c r="Z4" s="23" t="s">
        <v>396</v>
      </c>
      <c r="AA4" s="17">
        <v>2.0860672533108202</v>
      </c>
      <c r="AB4" s="17">
        <v>3.6455074872753103E-2</v>
      </c>
      <c r="AC4" s="17">
        <v>0.179770228594134</v>
      </c>
      <c r="AD4" s="17">
        <v>4.00168573152136E-4</v>
      </c>
      <c r="AF4" s="28" t="s">
        <v>515</v>
      </c>
      <c r="AG4" s="14">
        <f t="shared" ref="AG4:AG32" si="0">1/AA4</f>
        <v>0.47937093035370221</v>
      </c>
      <c r="AH4" s="14">
        <f t="shared" ref="AH4:AH32" si="1">2*(AB4/(AA4^2))</f>
        <v>1.6754496414370115E-2</v>
      </c>
      <c r="AI4" s="14">
        <v>0.1144</v>
      </c>
      <c r="AJ4" s="14">
        <f t="shared" ref="AJ4:AJ32" si="2">AD4*2</f>
        <v>8.0033714630427201E-4</v>
      </c>
      <c r="AL4" s="29" t="s">
        <v>630</v>
      </c>
      <c r="AM4" s="19">
        <v>3.574492422076065</v>
      </c>
      <c r="AN4">
        <v>7.2317797787212354E-2</v>
      </c>
      <c r="AO4" s="20">
        <v>0.10356</v>
      </c>
      <c r="AP4">
        <v>2.3000000000000004E-3</v>
      </c>
      <c r="AR4" s="31" t="s">
        <v>726</v>
      </c>
      <c r="AS4">
        <v>1.8774614556623299</v>
      </c>
      <c r="AT4">
        <v>3.0286908429221798E-2</v>
      </c>
      <c r="AU4">
        <v>0.18665950244913099</v>
      </c>
      <c r="AV4">
        <v>5.4615140723763796E-4</v>
      </c>
      <c r="AX4" s="31" t="s">
        <v>864</v>
      </c>
      <c r="AY4">
        <v>2.1561602234906201</v>
      </c>
      <c r="AZ4">
        <v>3.6756016300999103E-2</v>
      </c>
      <c r="BA4">
        <v>0.188382463806122</v>
      </c>
      <c r="BB4">
        <v>5.0111207121437203E-4</v>
      </c>
      <c r="BD4" s="31" t="s">
        <v>1013</v>
      </c>
      <c r="BE4">
        <v>1.9492847393639201</v>
      </c>
      <c r="BF4">
        <v>3.6086921034799199E-2</v>
      </c>
      <c r="BG4">
        <v>0.194281004184608</v>
      </c>
      <c r="BH4">
        <v>4.5641729081166E-4</v>
      </c>
    </row>
    <row r="5" spans="1:60" x14ac:dyDescent="0.25">
      <c r="A5" s="9" t="s">
        <v>100</v>
      </c>
      <c r="B5" s="2">
        <v>8.3607922316062098</v>
      </c>
      <c r="C5" s="2">
        <v>0.97418176694338499</v>
      </c>
      <c r="D5" s="2">
        <v>6.3245987814838395E-2</v>
      </c>
      <c r="E5" s="2">
        <v>6.5201821502685903E-3</v>
      </c>
      <c r="F5" s="2"/>
      <c r="G5" s="9" t="s">
        <v>195</v>
      </c>
      <c r="H5" s="2">
        <v>3.0903458550626199</v>
      </c>
      <c r="I5" s="2">
        <v>0.11791107150201401</v>
      </c>
      <c r="J5" s="2">
        <v>0.104959981774008</v>
      </c>
      <c r="K5" s="2">
        <v>6.2061468815759998E-3</v>
      </c>
      <c r="L5" s="2"/>
      <c r="M5" s="9" t="s">
        <v>227</v>
      </c>
      <c r="N5" s="2">
        <v>4.9796318859474802</v>
      </c>
      <c r="O5" s="2">
        <v>0.15462385888562899</v>
      </c>
      <c r="P5" s="2">
        <v>7.8313961137956606E-2</v>
      </c>
      <c r="Q5" s="2">
        <v>4.2566305047964503E-3</v>
      </c>
      <c r="R5" s="2"/>
      <c r="S5" s="7" t="s">
        <v>14</v>
      </c>
      <c r="T5" s="8">
        <v>3.106361829025845</v>
      </c>
      <c r="U5" s="4">
        <v>0.14975998877510288</v>
      </c>
      <c r="V5" s="4">
        <v>0.12009</v>
      </c>
      <c r="W5" s="4">
        <v>3.48E-3</v>
      </c>
      <c r="X5" s="4">
        <v>0.85699999999999998</v>
      </c>
      <c r="Z5" s="23" t="s">
        <v>397</v>
      </c>
      <c r="AA5" s="17">
        <v>2.77381338985546</v>
      </c>
      <c r="AB5" s="17">
        <v>8.4029795461078097E-2</v>
      </c>
      <c r="AC5" s="17">
        <v>0.123373158578301</v>
      </c>
      <c r="AD5" s="17">
        <v>3.6507769112334898E-4</v>
      </c>
      <c r="AF5" s="28" t="s">
        <v>516</v>
      </c>
      <c r="AG5" s="14">
        <f t="shared" si="0"/>
        <v>0.36051451898575942</v>
      </c>
      <c r="AH5" s="14">
        <f t="shared" si="1"/>
        <v>2.1842825766084359E-2</v>
      </c>
      <c r="AI5" s="14">
        <v>9.8610000000000003E-2</v>
      </c>
      <c r="AJ5" s="14">
        <f t="shared" si="2"/>
        <v>7.3015538224669796E-4</v>
      </c>
      <c r="AL5" s="29" t="s">
        <v>631</v>
      </c>
      <c r="AM5" s="19">
        <v>3.67039823820885</v>
      </c>
      <c r="AN5">
        <v>7.4364464213297302E-2</v>
      </c>
      <c r="AO5" s="20">
        <v>0.1021</v>
      </c>
      <c r="AP5">
        <v>2.2799999999999999E-3</v>
      </c>
      <c r="AR5" s="31" t="s">
        <v>727</v>
      </c>
      <c r="AS5">
        <v>2.8884852737239601</v>
      </c>
      <c r="AT5">
        <v>5.6585656670757399E-2</v>
      </c>
      <c r="AU5">
        <v>0.123767218660556</v>
      </c>
      <c r="AV5">
        <v>7.6197667405975705E-4</v>
      </c>
      <c r="AX5" s="31" t="s">
        <v>865</v>
      </c>
      <c r="AY5">
        <v>2.05570765252893</v>
      </c>
      <c r="AZ5">
        <v>3.1055881638517899E-2</v>
      </c>
      <c r="BA5">
        <v>0.18823768275168001</v>
      </c>
      <c r="BB5">
        <v>4.7113049239229799E-4</v>
      </c>
      <c r="BD5" s="31" t="s">
        <v>1014</v>
      </c>
      <c r="BE5">
        <v>1.9287754082015101</v>
      </c>
      <c r="BF5">
        <v>6.7348925462923301E-2</v>
      </c>
      <c r="BG5">
        <v>0.18379658831519499</v>
      </c>
      <c r="BH5">
        <v>1.30755147725506E-3</v>
      </c>
    </row>
    <row r="6" spans="1:60" x14ac:dyDescent="0.25">
      <c r="A6" s="9" t="s">
        <v>101</v>
      </c>
      <c r="B6" s="2">
        <v>5.6640103088970797</v>
      </c>
      <c r="C6" s="2">
        <v>0.253580219636592</v>
      </c>
      <c r="D6" s="2">
        <v>7.2395414840896996E-2</v>
      </c>
      <c r="E6" s="2">
        <v>3.88233530191113E-3</v>
      </c>
      <c r="F6" s="2"/>
      <c r="G6" s="9" t="s">
        <v>196</v>
      </c>
      <c r="H6" s="2">
        <v>5.5135340720645099</v>
      </c>
      <c r="I6" s="2">
        <v>0.16299794618477201</v>
      </c>
      <c r="J6" s="2">
        <v>7.3327906782774802E-2</v>
      </c>
      <c r="K6" s="2">
        <v>3.15179564686849E-3</v>
      </c>
      <c r="L6" s="2"/>
      <c r="M6" s="9" t="s">
        <v>228</v>
      </c>
      <c r="N6" s="2">
        <v>5.9639007645710702</v>
      </c>
      <c r="O6" s="2">
        <v>0.17733207401220899</v>
      </c>
      <c r="P6" s="2">
        <v>7.0049015805961595E-2</v>
      </c>
      <c r="Q6" s="2">
        <v>3.8154080488481401E-3</v>
      </c>
      <c r="R6" s="2"/>
      <c r="S6" s="7" t="s">
        <v>15</v>
      </c>
      <c r="T6" s="8">
        <v>3.412619868272873</v>
      </c>
      <c r="U6" s="4">
        <v>0.10760880313565624</v>
      </c>
      <c r="V6" s="4">
        <v>0.10934000000000001</v>
      </c>
      <c r="W6" s="4">
        <v>2.82E-3</v>
      </c>
      <c r="X6" s="4">
        <v>0.77400000000000002</v>
      </c>
      <c r="Z6" s="23" t="s">
        <v>398</v>
      </c>
      <c r="AA6" s="17">
        <v>2.8707344144276701</v>
      </c>
      <c r="AB6" s="17">
        <v>8.7555470225888499E-2</v>
      </c>
      <c r="AC6" s="17">
        <v>0.11639927421377901</v>
      </c>
      <c r="AD6" s="17">
        <v>4.11093232290894E-4</v>
      </c>
      <c r="AF6" s="28" t="s">
        <v>517</v>
      </c>
      <c r="AG6" s="14">
        <f t="shared" si="0"/>
        <v>0.34834291705085058</v>
      </c>
      <c r="AH6" s="14">
        <f t="shared" si="1"/>
        <v>2.1248449699116774E-2</v>
      </c>
      <c r="AI6" s="14">
        <v>9.7909999999999997E-2</v>
      </c>
      <c r="AJ6" s="14">
        <f t="shared" si="2"/>
        <v>8.22186464581788E-4</v>
      </c>
      <c r="AL6" s="29" t="s">
        <v>632</v>
      </c>
      <c r="AM6" s="19">
        <v>3.9000039000038997</v>
      </c>
      <c r="AN6">
        <v>7.7875355750633618E-2</v>
      </c>
      <c r="AO6" s="20">
        <v>9.6829999999999999E-2</v>
      </c>
      <c r="AP6">
        <v>2E-3</v>
      </c>
      <c r="AR6" s="31" t="s">
        <v>728</v>
      </c>
      <c r="AS6">
        <v>3.0489403875176402</v>
      </c>
      <c r="AT6">
        <v>4.4453328659491101E-2</v>
      </c>
      <c r="AU6">
        <v>0.113569059269229</v>
      </c>
      <c r="AV6">
        <v>3.7822035608177899E-4</v>
      </c>
      <c r="AX6" s="31" t="s">
        <v>866</v>
      </c>
      <c r="AY6">
        <v>1.9742210704687</v>
      </c>
      <c r="AZ6">
        <v>3.2476156318348798E-2</v>
      </c>
      <c r="BA6">
        <v>0.187742722288219</v>
      </c>
      <c r="BB6">
        <v>6.5101137577172196E-4</v>
      </c>
      <c r="BD6" s="31" t="s">
        <v>1015</v>
      </c>
      <c r="BE6">
        <v>2.0852522190948402</v>
      </c>
      <c r="BF6">
        <v>4.2153513392848903E-2</v>
      </c>
      <c r="BG6">
        <v>0.15671601969006699</v>
      </c>
      <c r="BH6">
        <v>8.1621868756174404E-4</v>
      </c>
    </row>
    <row r="7" spans="1:60" x14ac:dyDescent="0.25">
      <c r="A7" s="9" t="s">
        <v>102</v>
      </c>
      <c r="B7" s="2">
        <v>5.1597372694495496</v>
      </c>
      <c r="C7" s="2">
        <v>0.26555122396729097</v>
      </c>
      <c r="D7" s="2">
        <v>7.6168860294622803E-2</v>
      </c>
      <c r="E7" s="2">
        <v>4.94487175312033E-3</v>
      </c>
      <c r="F7" s="2"/>
      <c r="G7" s="9" t="s">
        <v>197</v>
      </c>
      <c r="H7" s="2">
        <v>5.7291616566731802</v>
      </c>
      <c r="I7" s="2">
        <v>0.18906273925171699</v>
      </c>
      <c r="J7" s="2">
        <v>7.2999589380803004E-2</v>
      </c>
      <c r="K7" s="2">
        <v>4.5616217722344501E-3</v>
      </c>
      <c r="L7" s="2"/>
      <c r="M7" s="9" t="s">
        <v>229</v>
      </c>
      <c r="N7" s="2">
        <v>4.8532908986832597</v>
      </c>
      <c r="O7" s="2">
        <v>0.13002088521716701</v>
      </c>
      <c r="P7" s="2">
        <v>7.9064559707122506E-2</v>
      </c>
      <c r="Q7" s="2">
        <v>3.77497413519744E-3</v>
      </c>
      <c r="R7" s="2"/>
      <c r="S7" s="7" t="s">
        <v>16</v>
      </c>
      <c r="T7" s="8">
        <v>3.5539128580567203</v>
      </c>
      <c r="U7" s="4">
        <v>0.11367266942394796</v>
      </c>
      <c r="V7" s="4">
        <v>0.10322000000000001</v>
      </c>
      <c r="W7" s="4">
        <v>2.9199999999999999E-3</v>
      </c>
      <c r="X7" s="4">
        <v>0.749</v>
      </c>
      <c r="Z7" s="23" t="s">
        <v>399</v>
      </c>
      <c r="AA7" s="17">
        <v>3.07852057132982</v>
      </c>
      <c r="AB7" s="17">
        <v>9.3244841964580202E-2</v>
      </c>
      <c r="AC7" s="17">
        <v>0.112864639134964</v>
      </c>
      <c r="AD7" s="17">
        <v>4.23299960117644E-4</v>
      </c>
      <c r="AF7" s="28" t="s">
        <v>518</v>
      </c>
      <c r="AG7" s="14">
        <f t="shared" si="0"/>
        <v>0.32483135221280418</v>
      </c>
      <c r="AH7" s="14">
        <f t="shared" si="1"/>
        <v>1.9677534972027184E-2</v>
      </c>
      <c r="AI7" s="14">
        <v>9.4880000000000006E-2</v>
      </c>
      <c r="AJ7" s="14">
        <f t="shared" si="2"/>
        <v>8.46599920235288E-4</v>
      </c>
      <c r="AL7" s="29" t="s">
        <v>633</v>
      </c>
      <c r="AM7" s="19">
        <v>4.1656252603515789</v>
      </c>
      <c r="AN7">
        <v>8.3638730962653549E-2</v>
      </c>
      <c r="AO7" s="20">
        <v>9.2530000000000001E-2</v>
      </c>
      <c r="AP7">
        <v>1.9800000000000004E-3</v>
      </c>
      <c r="AR7" s="31" t="s">
        <v>729</v>
      </c>
      <c r="AS7">
        <v>2.9974505848552799</v>
      </c>
      <c r="AT7">
        <v>5.0085577640785597E-2</v>
      </c>
      <c r="AU7">
        <v>0.11149899257929401</v>
      </c>
      <c r="AV7">
        <v>4.7160456652337799E-4</v>
      </c>
      <c r="AX7" s="31" t="s">
        <v>867</v>
      </c>
      <c r="AY7">
        <v>1.9475623568790199</v>
      </c>
      <c r="AZ7">
        <v>2.5809554891574899E-2</v>
      </c>
      <c r="BA7">
        <v>0.186932146629148</v>
      </c>
      <c r="BB7">
        <v>1.0365382007576701E-3</v>
      </c>
      <c r="BD7" s="31" t="s">
        <v>1016</v>
      </c>
      <c r="BE7">
        <v>2.61396204845046</v>
      </c>
      <c r="BF7">
        <v>9.7158074252708504E-2</v>
      </c>
      <c r="BG7">
        <v>0.12910238454043299</v>
      </c>
      <c r="BH7">
        <v>1.1429702647288899E-3</v>
      </c>
    </row>
    <row r="8" spans="1:60" x14ac:dyDescent="0.25">
      <c r="A8" s="9" t="s">
        <v>103</v>
      </c>
      <c r="B8" s="2">
        <v>5.6203954608222304</v>
      </c>
      <c r="C8" s="2">
        <v>0.14612247430558201</v>
      </c>
      <c r="D8" s="2">
        <v>7.4236003146146604E-2</v>
      </c>
      <c r="E8" s="2">
        <v>3.81340541332444E-3</v>
      </c>
      <c r="F8" s="2"/>
      <c r="G8" s="9" t="s">
        <v>198</v>
      </c>
      <c r="H8" s="2">
        <v>5.6900961887251604</v>
      </c>
      <c r="I8" s="2">
        <v>0.180724775141545</v>
      </c>
      <c r="J8" s="2">
        <v>7.4600880205767994E-2</v>
      </c>
      <c r="K8" s="2">
        <v>4.0495754601617097E-3</v>
      </c>
      <c r="L8" s="2"/>
      <c r="M8" s="9" t="s">
        <v>230</v>
      </c>
      <c r="N8" s="2">
        <v>5.6655397293685503</v>
      </c>
      <c r="O8" s="2">
        <v>0.14793665764056199</v>
      </c>
      <c r="P8" s="2">
        <v>7.4155451467641201E-2</v>
      </c>
      <c r="Q8" s="2">
        <v>3.5286375413863501E-3</v>
      </c>
      <c r="R8" s="2"/>
      <c r="S8" s="7" t="s">
        <v>17</v>
      </c>
      <c r="T8" s="8">
        <v>3.7626519170711519</v>
      </c>
      <c r="U8" s="4">
        <v>0.13619562569975724</v>
      </c>
      <c r="V8" s="4">
        <v>0.10135</v>
      </c>
      <c r="W8" s="4">
        <v>2.48E-3</v>
      </c>
      <c r="X8" s="4">
        <v>0.82799999999999996</v>
      </c>
      <c r="Z8" s="23" t="s">
        <v>400</v>
      </c>
      <c r="AA8" s="17">
        <v>3.28547262423211</v>
      </c>
      <c r="AB8" s="17">
        <v>9.96095679715258E-2</v>
      </c>
      <c r="AC8" s="17">
        <v>0.11158366551054499</v>
      </c>
      <c r="AD8" s="17">
        <v>3.2612394902447001E-4</v>
      </c>
      <c r="AF8" s="28" t="s">
        <v>519</v>
      </c>
      <c r="AG8" s="14">
        <f t="shared" si="0"/>
        <v>0.30437021225636385</v>
      </c>
      <c r="AH8" s="14">
        <f t="shared" si="1"/>
        <v>1.845590501813666E-2</v>
      </c>
      <c r="AI8" s="14">
        <v>9.3670000000000003E-2</v>
      </c>
      <c r="AJ8" s="14">
        <f t="shared" si="2"/>
        <v>6.5224789804894001E-4</v>
      </c>
      <c r="AL8" s="29" t="s">
        <v>634</v>
      </c>
      <c r="AM8" s="19">
        <v>4.3066322136089576</v>
      </c>
      <c r="AN8">
        <v>8.6429397568551863E-2</v>
      </c>
      <c r="AO8" s="20">
        <v>9.0539999999999995E-2</v>
      </c>
      <c r="AP8">
        <v>1.9599999999999999E-3</v>
      </c>
      <c r="AR8" s="31" t="s">
        <v>730</v>
      </c>
      <c r="AS8">
        <v>3.0657938699129201</v>
      </c>
      <c r="AT8">
        <v>4.5104461495707203E-2</v>
      </c>
      <c r="AU8">
        <v>0.110382116248837</v>
      </c>
      <c r="AV8">
        <v>4.0250210845768901E-4</v>
      </c>
      <c r="AX8" s="31" t="s">
        <v>868</v>
      </c>
      <c r="AY8">
        <v>1.91616845919878</v>
      </c>
      <c r="AZ8">
        <v>3.4875130317444901E-2</v>
      </c>
      <c r="BA8">
        <v>0.18507185371940499</v>
      </c>
      <c r="BB8">
        <v>1.6324229070141601E-3</v>
      </c>
      <c r="BD8" s="31" t="s">
        <v>1017</v>
      </c>
      <c r="BE8">
        <v>2.7394088685497402</v>
      </c>
      <c r="BF8">
        <v>5.2529758413353299E-2</v>
      </c>
      <c r="BG8">
        <v>0.123696651588191</v>
      </c>
      <c r="BH8">
        <v>4.8316094097265499E-4</v>
      </c>
    </row>
    <row r="9" spans="1:60" x14ac:dyDescent="0.25">
      <c r="A9" s="9" t="s">
        <v>104</v>
      </c>
      <c r="B9" s="2">
        <v>3.1379914114753298</v>
      </c>
      <c r="C9" s="2">
        <v>0.12227272754451</v>
      </c>
      <c r="D9" s="2">
        <v>0.10446332406876099</v>
      </c>
      <c r="E9" s="2">
        <v>5.3803354962220599E-3</v>
      </c>
      <c r="F9" s="2"/>
      <c r="G9" s="9" t="s">
        <v>199</v>
      </c>
      <c r="H9" s="2">
        <v>6.2904401382177797</v>
      </c>
      <c r="I9" s="2">
        <v>0.23592753086354201</v>
      </c>
      <c r="J9" s="2">
        <v>6.9486877256268204E-2</v>
      </c>
      <c r="K9" s="2">
        <v>3.6991963039675699E-3</v>
      </c>
      <c r="L9" s="2"/>
      <c r="M9" s="9" t="s">
        <v>231</v>
      </c>
      <c r="N9" s="2">
        <v>6.0628266348145798</v>
      </c>
      <c r="O9" s="2">
        <v>0.156399666461738</v>
      </c>
      <c r="P9" s="2">
        <v>7.1364142286818893E-2</v>
      </c>
      <c r="Q9" s="2">
        <v>3.8397576335523799E-3</v>
      </c>
      <c r="R9" s="2"/>
      <c r="S9" s="7" t="s">
        <v>18</v>
      </c>
      <c r="T9" s="8">
        <v>3.7020583444395081</v>
      </c>
      <c r="U9" s="4">
        <v>0.17899038197238257</v>
      </c>
      <c r="V9" s="4">
        <v>0.10134</v>
      </c>
      <c r="W9" s="4">
        <v>2.64E-3</v>
      </c>
      <c r="X9" s="4">
        <v>0.88100000000000001</v>
      </c>
      <c r="Z9" s="23" t="s">
        <v>401</v>
      </c>
      <c r="AA9" s="17">
        <v>3.16603880192734</v>
      </c>
      <c r="AB9" s="17">
        <v>0.11982975246242999</v>
      </c>
      <c r="AC9" s="17">
        <v>0.111373704344595</v>
      </c>
      <c r="AD9" s="17">
        <v>2.6859929608692099E-4</v>
      </c>
      <c r="AF9" s="28" t="s">
        <v>520</v>
      </c>
      <c r="AG9" s="14">
        <f t="shared" si="0"/>
        <v>0.31585209865123753</v>
      </c>
      <c r="AH9" s="14">
        <f t="shared" si="1"/>
        <v>2.3909042917020715E-2</v>
      </c>
      <c r="AI9" s="14">
        <v>9.282E-2</v>
      </c>
      <c r="AJ9" s="14">
        <f t="shared" si="2"/>
        <v>5.3719859217384199E-4</v>
      </c>
      <c r="AL9" s="29" t="s">
        <v>635</v>
      </c>
      <c r="AM9" s="19">
        <v>4.3205875999135888</v>
      </c>
      <c r="AN9">
        <v>8.8110492424247747E-2</v>
      </c>
      <c r="AO9" s="20">
        <v>8.9810000000000001E-2</v>
      </c>
      <c r="AP9">
        <v>2.16E-3</v>
      </c>
      <c r="AR9" s="31" t="s">
        <v>731</v>
      </c>
      <c r="AS9">
        <v>3.40056756986557</v>
      </c>
      <c r="AT9">
        <v>6.3059862642172906E-2</v>
      </c>
      <c r="AU9">
        <v>0.109109363874976</v>
      </c>
      <c r="AV9">
        <v>4.9094641121195405E-4</v>
      </c>
      <c r="AX9" s="31" t="s">
        <v>869</v>
      </c>
      <c r="AY9">
        <v>2.1582870431958101</v>
      </c>
      <c r="AZ9">
        <v>2.0740462550262601E-2</v>
      </c>
      <c r="BA9">
        <v>0.16588318545140199</v>
      </c>
      <c r="BB9">
        <v>1.3366076714878901E-3</v>
      </c>
      <c r="BD9" s="31" t="s">
        <v>1018</v>
      </c>
      <c r="BE9">
        <v>3.1088947918446901</v>
      </c>
      <c r="BF9">
        <v>6.5938149132347398E-2</v>
      </c>
      <c r="BG9">
        <v>0.109966779263655</v>
      </c>
      <c r="BH9">
        <v>6.5479312259821595E-4</v>
      </c>
    </row>
    <row r="10" spans="1:60" x14ac:dyDescent="0.25">
      <c r="A10" s="9" t="s">
        <v>105</v>
      </c>
      <c r="B10" s="2">
        <v>3.1743531258892999</v>
      </c>
      <c r="C10" s="2">
        <v>0.14335530306921301</v>
      </c>
      <c r="D10" s="2">
        <v>0.10312184169008599</v>
      </c>
      <c r="E10" s="2">
        <v>6.5357447128540202E-3</v>
      </c>
      <c r="F10" s="2"/>
      <c r="G10" s="9" t="s">
        <v>200</v>
      </c>
      <c r="H10" s="2">
        <v>4.2131534160478097</v>
      </c>
      <c r="I10" s="2">
        <v>0.116801034506947</v>
      </c>
      <c r="J10" s="2">
        <v>8.5446191818242798E-2</v>
      </c>
      <c r="K10" s="2">
        <v>3.4453414552908799E-3</v>
      </c>
      <c r="L10" s="2"/>
      <c r="M10" s="9" t="s">
        <v>232</v>
      </c>
      <c r="N10" s="2">
        <v>5.3121062762853102</v>
      </c>
      <c r="O10" s="2">
        <v>0.146274577863931</v>
      </c>
      <c r="P10" s="2">
        <v>7.4822471356404005E-2</v>
      </c>
      <c r="Q10" s="2">
        <v>4.6235397557244599E-3</v>
      </c>
      <c r="R10" s="2"/>
      <c r="S10" s="7" t="s">
        <v>19</v>
      </c>
      <c r="T10" s="8">
        <v>3.88968843595628</v>
      </c>
      <c r="U10" s="4">
        <v>0.11105182278548018</v>
      </c>
      <c r="V10" s="4">
        <v>9.7729999999999997E-2</v>
      </c>
      <c r="W10" s="4">
        <v>2.32E-3</v>
      </c>
      <c r="X10" s="4">
        <v>0.76700000000000002</v>
      </c>
      <c r="Z10" s="23" t="s">
        <v>402</v>
      </c>
      <c r="AA10" s="17">
        <v>3.08718428782697</v>
      </c>
      <c r="AB10" s="17">
        <v>0.116281049218488</v>
      </c>
      <c r="AC10" s="17">
        <v>0.110307547240973</v>
      </c>
      <c r="AD10" s="17">
        <v>3.4435877495338202E-4</v>
      </c>
      <c r="AF10" s="28" t="s">
        <v>521</v>
      </c>
      <c r="AG10" s="14">
        <f t="shared" si="0"/>
        <v>0.32391976207675227</v>
      </c>
      <c r="AH10" s="14">
        <f t="shared" si="1"/>
        <v>2.4401348468510241E-2</v>
      </c>
      <c r="AI10" s="14">
        <v>9.1480000000000006E-2</v>
      </c>
      <c r="AJ10" s="14">
        <f t="shared" si="2"/>
        <v>6.8871754990676404E-4</v>
      </c>
      <c r="AL10" s="29" t="s">
        <v>636</v>
      </c>
      <c r="AM10" s="19">
        <v>4.5951658854884663</v>
      </c>
      <c r="AN10">
        <v>9.333072885699395E-2</v>
      </c>
      <c r="AO10" s="20">
        <v>8.7379999999999999E-2</v>
      </c>
      <c r="AP10">
        <v>2.0999999999999999E-3</v>
      </c>
      <c r="AR10" s="31" t="s">
        <v>732</v>
      </c>
      <c r="AS10">
        <v>3.3541166672281801</v>
      </c>
      <c r="AT10">
        <v>0.104656580806644</v>
      </c>
      <c r="AU10">
        <v>0.102468189704155</v>
      </c>
      <c r="AV10">
        <v>1.1571803896396401E-3</v>
      </c>
      <c r="AX10" s="31" t="s">
        <v>870</v>
      </c>
      <c r="AY10">
        <v>2.8027863406128399</v>
      </c>
      <c r="AZ10">
        <v>5.1181747059947803E-2</v>
      </c>
      <c r="BA10">
        <v>0.121221854058989</v>
      </c>
      <c r="BB10">
        <v>7.6453928240109899E-4</v>
      </c>
      <c r="BD10" s="31" t="s">
        <v>1019</v>
      </c>
      <c r="BE10">
        <v>3.1132684079939601</v>
      </c>
      <c r="BF10">
        <v>6.1485256906227803E-2</v>
      </c>
      <c r="BG10">
        <v>0.109553827270557</v>
      </c>
      <c r="BH10">
        <v>6.5312292300717895E-4</v>
      </c>
    </row>
    <row r="11" spans="1:60" x14ac:dyDescent="0.25">
      <c r="A11" s="9" t="s">
        <v>106</v>
      </c>
      <c r="B11" s="2">
        <v>4.6573586737213901</v>
      </c>
      <c r="C11" s="2">
        <v>0.12739371314151701</v>
      </c>
      <c r="D11" s="2">
        <v>8.0103518695203393E-2</v>
      </c>
      <c r="E11" s="2">
        <v>3.7992266370648702E-3</v>
      </c>
      <c r="F11" s="2"/>
      <c r="G11" s="9" t="s">
        <v>201</v>
      </c>
      <c r="H11" s="2">
        <v>3.0374165992858901</v>
      </c>
      <c r="I11" s="2">
        <v>8.7443393688707197E-2</v>
      </c>
      <c r="J11" s="2">
        <v>0.11294327450891301</v>
      </c>
      <c r="K11" s="2">
        <v>6.5636624017332496E-3</v>
      </c>
      <c r="L11" s="2"/>
      <c r="M11" s="9" t="s">
        <v>233</v>
      </c>
      <c r="N11" s="2">
        <v>5.7318037970931801</v>
      </c>
      <c r="O11" s="2">
        <v>0.153035494437713</v>
      </c>
      <c r="P11" s="2">
        <v>7.3195431345022002E-2</v>
      </c>
      <c r="Q11" s="2">
        <v>4.0420677832927899E-3</v>
      </c>
      <c r="R11" s="2"/>
      <c r="S11" s="7" t="s">
        <v>20</v>
      </c>
      <c r="T11" s="8">
        <v>4.0155804521543592</v>
      </c>
      <c r="U11" s="4">
        <v>0.23026337733110164</v>
      </c>
      <c r="V11" s="4">
        <v>9.6110000000000001E-2</v>
      </c>
      <c r="W11" s="4">
        <v>2.66E-3</v>
      </c>
      <c r="X11" s="4">
        <v>0.90100000000000002</v>
      </c>
      <c r="Z11" s="23" t="s">
        <v>403</v>
      </c>
      <c r="AA11" s="17">
        <v>3.1380206695582502</v>
      </c>
      <c r="AB11" s="17">
        <v>9.5277789804147403E-2</v>
      </c>
      <c r="AC11" s="17">
        <v>0.110170836346334</v>
      </c>
      <c r="AD11" s="17">
        <v>3.7524114534680301E-4</v>
      </c>
      <c r="AF11" s="28" t="s">
        <v>522</v>
      </c>
      <c r="AG11" s="14">
        <f t="shared" si="0"/>
        <v>0.31867221580180777</v>
      </c>
      <c r="AH11" s="14">
        <f t="shared" si="1"/>
        <v>1.9351296623460901E-2</v>
      </c>
      <c r="AI11" s="14">
        <v>9.1439999999999994E-2</v>
      </c>
      <c r="AJ11" s="14">
        <f t="shared" si="2"/>
        <v>7.5048229069360603E-4</v>
      </c>
      <c r="AL11" s="29" t="s">
        <v>637</v>
      </c>
      <c r="AM11" s="19">
        <v>4.5955882352941178</v>
      </c>
      <c r="AN11">
        <v>9.250310878027683E-2</v>
      </c>
      <c r="AO11" s="20">
        <v>8.7010000000000004E-2</v>
      </c>
      <c r="AP11">
        <v>1.9599999999999995E-3</v>
      </c>
      <c r="AR11" s="31" t="s">
        <v>733</v>
      </c>
      <c r="AS11">
        <v>3.3620742685812401</v>
      </c>
      <c r="AT11">
        <v>3.2541511914709297E-2</v>
      </c>
      <c r="AU11">
        <v>0.10198338639155601</v>
      </c>
      <c r="AV11">
        <v>5.4230734327982905E-4</v>
      </c>
      <c r="AX11" s="31" t="s">
        <v>871</v>
      </c>
      <c r="AY11">
        <v>2.8876137437432998</v>
      </c>
      <c r="AZ11">
        <v>4.5622426264256701E-2</v>
      </c>
      <c r="BA11">
        <v>0.11893287919225901</v>
      </c>
      <c r="BB11">
        <v>3.8987199468174698E-4</v>
      </c>
      <c r="BD11" s="31" t="s">
        <v>1020</v>
      </c>
      <c r="BE11">
        <v>3.1344779497228599</v>
      </c>
      <c r="BF11">
        <v>0.116041326765251</v>
      </c>
      <c r="BG11">
        <v>0.10939194138215701</v>
      </c>
      <c r="BH11">
        <v>1.25403220620103E-3</v>
      </c>
    </row>
    <row r="12" spans="1:60" x14ac:dyDescent="0.25">
      <c r="A12" s="9" t="s">
        <v>107</v>
      </c>
      <c r="B12" s="2">
        <v>5.1389469049614398</v>
      </c>
      <c r="C12" s="2">
        <v>0.143780339513113</v>
      </c>
      <c r="D12" s="2">
        <v>7.5621252724650201E-2</v>
      </c>
      <c r="E12" s="2">
        <v>3.22410406342955E-3</v>
      </c>
      <c r="F12" s="2"/>
      <c r="G12" s="9" t="s">
        <v>202</v>
      </c>
      <c r="H12" s="2">
        <v>5.72363454004293</v>
      </c>
      <c r="I12" s="2">
        <v>0.17189688400122199</v>
      </c>
      <c r="J12" s="2">
        <v>7.21363265228155E-2</v>
      </c>
      <c r="K12" s="2">
        <v>3.5570201069994199E-3</v>
      </c>
      <c r="L12" s="2"/>
      <c r="M12" s="9" t="s">
        <v>234</v>
      </c>
      <c r="N12" s="2">
        <v>3.0714539246879098</v>
      </c>
      <c r="O12" s="2">
        <v>0.11668667612910601</v>
      </c>
      <c r="P12" s="2">
        <v>0.105263909657941</v>
      </c>
      <c r="Q12" s="2">
        <v>6.02234690407304E-3</v>
      </c>
      <c r="R12" s="2"/>
      <c r="S12" s="7" t="s">
        <v>21</v>
      </c>
      <c r="T12" s="8">
        <v>4.0556434278298248</v>
      </c>
      <c r="U12" s="4">
        <v>0.12171700274137447</v>
      </c>
      <c r="V12" s="4">
        <v>9.5070000000000002E-2</v>
      </c>
      <c r="W12" s="4">
        <v>2.3600000000000001E-3</v>
      </c>
      <c r="X12" s="4">
        <v>0.77</v>
      </c>
      <c r="Z12" s="23" t="s">
        <v>404</v>
      </c>
      <c r="AA12" s="17">
        <v>3.1871614158008601</v>
      </c>
      <c r="AB12" s="17">
        <v>9.5374842457043293E-2</v>
      </c>
      <c r="AC12" s="17">
        <v>0.10975298370754399</v>
      </c>
      <c r="AD12" s="17">
        <v>3.6006198513336898E-4</v>
      </c>
      <c r="AF12" s="28" t="s">
        <v>523</v>
      </c>
      <c r="AG12" s="14">
        <f t="shared" si="0"/>
        <v>0.31375881844023989</v>
      </c>
      <c r="AH12" s="14">
        <f t="shared" si="1"/>
        <v>1.8778275696919196E-2</v>
      </c>
      <c r="AI12" s="14">
        <v>8.9950000000000002E-2</v>
      </c>
      <c r="AJ12" s="14">
        <f t="shared" si="2"/>
        <v>7.2012397026673797E-4</v>
      </c>
      <c r="AL12" s="29" t="s">
        <v>638</v>
      </c>
      <c r="AM12" s="19">
        <v>4.3715846994535514</v>
      </c>
      <c r="AN12">
        <v>8.7145032697303573E-2</v>
      </c>
      <c r="AO12" s="20">
        <v>8.2150000000000001E-2</v>
      </c>
      <c r="AP12">
        <v>1.7999999999999997E-3</v>
      </c>
      <c r="AR12" s="31" t="s">
        <v>734</v>
      </c>
      <c r="AS12">
        <v>3.6118806974090898</v>
      </c>
      <c r="AT12">
        <v>5.9500095496642397E-2</v>
      </c>
      <c r="AU12">
        <v>0.101605380104553</v>
      </c>
      <c r="AV12">
        <v>4.6555986216717798E-4</v>
      </c>
      <c r="AX12" s="31" t="s">
        <v>872</v>
      </c>
      <c r="AY12">
        <v>2.8789124103224299</v>
      </c>
      <c r="AZ12">
        <v>4.61843688275183E-2</v>
      </c>
      <c r="BA12">
        <v>0.118329912949777</v>
      </c>
      <c r="BB12">
        <v>3.8273838594177602E-4</v>
      </c>
      <c r="BD12" s="31" t="s">
        <v>1021</v>
      </c>
      <c r="BE12">
        <v>3.2707057728409401</v>
      </c>
      <c r="BF12">
        <v>3.3224337931107101E-2</v>
      </c>
      <c r="BG12">
        <v>0.107680475347114</v>
      </c>
      <c r="BH12">
        <v>3.6272172892097099E-4</v>
      </c>
    </row>
    <row r="13" spans="1:60" x14ac:dyDescent="0.25">
      <c r="A13" s="9" t="s">
        <v>108</v>
      </c>
      <c r="B13" s="2">
        <v>5.0077072521988297</v>
      </c>
      <c r="C13" s="2">
        <v>0.21482724826229199</v>
      </c>
      <c r="D13" s="2">
        <v>7.54968337828298E-2</v>
      </c>
      <c r="E13" s="2">
        <v>3.0569800553467501E-3</v>
      </c>
      <c r="F13" s="2"/>
      <c r="G13" s="9" t="s">
        <v>203</v>
      </c>
      <c r="H13" s="2">
        <v>4.2806928123724397</v>
      </c>
      <c r="I13" s="2">
        <v>0.172979882306347</v>
      </c>
      <c r="J13" s="2">
        <v>8.5985967220820705E-2</v>
      </c>
      <c r="K13" s="2">
        <v>4.18807575890736E-3</v>
      </c>
      <c r="L13" s="2"/>
      <c r="M13" s="9" t="s">
        <v>235</v>
      </c>
      <c r="N13" s="2">
        <v>5.1060140888769201</v>
      </c>
      <c r="O13" s="2">
        <v>0.12075629376071</v>
      </c>
      <c r="P13" s="2">
        <v>7.7778377924690195E-2</v>
      </c>
      <c r="Q13" s="2">
        <v>3.3229085831459502E-3</v>
      </c>
      <c r="R13" s="2"/>
      <c r="S13" s="7" t="s">
        <v>22</v>
      </c>
      <c r="T13" s="8">
        <v>4.1741453437408689</v>
      </c>
      <c r="U13" s="4">
        <v>0.11325268077937825</v>
      </c>
      <c r="V13" s="4">
        <v>9.3119999999999994E-2</v>
      </c>
      <c r="W13" s="4">
        <v>3.2000000000000002E-3</v>
      </c>
      <c r="X13" s="4">
        <v>0.62</v>
      </c>
      <c r="Z13" s="23" t="s">
        <v>405</v>
      </c>
      <c r="AA13" s="17">
        <v>3.3260934286083401</v>
      </c>
      <c r="AB13" s="17">
        <v>0.12805685585785501</v>
      </c>
      <c r="AC13" s="17">
        <v>0.10766850687437</v>
      </c>
      <c r="AD13" s="17">
        <v>3.4714583278569802E-4</v>
      </c>
      <c r="AF13" s="28" t="s">
        <v>524</v>
      </c>
      <c r="AG13" s="14">
        <f t="shared" si="0"/>
        <v>0.30065300974374815</v>
      </c>
      <c r="AH13" s="14">
        <f t="shared" si="1"/>
        <v>2.3150690116419476E-2</v>
      </c>
      <c r="AI13" s="14">
        <v>8.5339999999999999E-2</v>
      </c>
      <c r="AJ13" s="14">
        <f t="shared" si="2"/>
        <v>6.9429166557139605E-4</v>
      </c>
      <c r="AL13" s="29" t="s">
        <v>639</v>
      </c>
      <c r="AM13" s="19">
        <v>5.2985746834101626</v>
      </c>
      <c r="AN13">
        <v>0.1072460938410789</v>
      </c>
      <c r="AO13" s="20">
        <v>7.954E-2</v>
      </c>
      <c r="AP13">
        <v>1.82E-3</v>
      </c>
      <c r="AR13" s="31" t="s">
        <v>735</v>
      </c>
      <c r="AS13">
        <v>3.3993284864203801</v>
      </c>
      <c r="AT13">
        <v>5.2464323217539903E-2</v>
      </c>
      <c r="AU13">
        <v>0.101419207067243</v>
      </c>
      <c r="AV13">
        <v>3.4614717396508999E-4</v>
      </c>
      <c r="AX13" s="31" t="s">
        <v>873</v>
      </c>
      <c r="AY13">
        <v>3.0471774011307402</v>
      </c>
      <c r="AZ13">
        <v>3.1196738677450001E-2</v>
      </c>
      <c r="BA13">
        <v>0.11558563734313899</v>
      </c>
      <c r="BB13">
        <v>1.0077303422483799E-3</v>
      </c>
      <c r="BD13" s="31" t="s">
        <v>1022</v>
      </c>
      <c r="BE13">
        <v>3.2118003090750298</v>
      </c>
      <c r="BF13">
        <v>4.2245908343177201E-2</v>
      </c>
      <c r="BG13">
        <v>0.107594618983373</v>
      </c>
      <c r="BH13">
        <v>5.3283488505217395E-4</v>
      </c>
    </row>
    <row r="14" spans="1:60" x14ac:dyDescent="0.25">
      <c r="A14" s="9" t="s">
        <v>109</v>
      </c>
      <c r="B14" s="2">
        <v>5.92705770855388</v>
      </c>
      <c r="C14" s="2">
        <v>0.188099287679106</v>
      </c>
      <c r="D14" s="2">
        <v>7.1429644438336395E-2</v>
      </c>
      <c r="E14" s="2">
        <v>2.6514305053387801E-3</v>
      </c>
      <c r="F14" s="2"/>
      <c r="G14" s="9" t="s">
        <v>204</v>
      </c>
      <c r="H14" s="2">
        <v>6.4495099612751803</v>
      </c>
      <c r="I14" s="2">
        <v>0.25190032793698602</v>
      </c>
      <c r="J14" s="2">
        <v>7.0582888056937701E-2</v>
      </c>
      <c r="K14" s="2">
        <v>5.3382718182223296E-3</v>
      </c>
      <c r="L14" s="2"/>
      <c r="M14" s="9" t="s">
        <v>236</v>
      </c>
      <c r="N14" s="2">
        <v>4.3503747288830397</v>
      </c>
      <c r="O14" s="2">
        <v>0.24538489627927501</v>
      </c>
      <c r="P14" s="2">
        <v>8.71662297910481E-2</v>
      </c>
      <c r="Q14" s="2">
        <v>8.0509835184332506E-3</v>
      </c>
      <c r="R14" s="2"/>
      <c r="S14" s="7" t="s">
        <v>23</v>
      </c>
      <c r="T14" s="8">
        <v>4.6823055672613192</v>
      </c>
      <c r="U14" s="4">
        <v>0.17933820077818788</v>
      </c>
      <c r="V14" s="4">
        <v>8.4989999999999996E-2</v>
      </c>
      <c r="W14" s="4">
        <v>2.2599999999999999E-3</v>
      </c>
      <c r="X14" s="4">
        <v>0.82299999999999995</v>
      </c>
      <c r="Z14" s="23" t="s">
        <v>406</v>
      </c>
      <c r="AA14" s="17">
        <v>3.3843193904732498</v>
      </c>
      <c r="AB14" s="17">
        <v>0.12821761122780401</v>
      </c>
      <c r="AC14" s="17">
        <v>0.105707910471244</v>
      </c>
      <c r="AD14" s="17">
        <v>3.8491412160042697E-4</v>
      </c>
      <c r="AF14" s="28" t="s">
        <v>525</v>
      </c>
      <c r="AG14" s="14">
        <f t="shared" si="0"/>
        <v>0.29548038604600024</v>
      </c>
      <c r="AH14" s="14">
        <f t="shared" si="1"/>
        <v>2.2389015274465393E-2</v>
      </c>
      <c r="AI14" s="14">
        <v>8.2790000000000002E-2</v>
      </c>
      <c r="AJ14" s="14">
        <f t="shared" si="2"/>
        <v>7.6982824320085395E-4</v>
      </c>
      <c r="AL14" s="29" t="s">
        <v>640</v>
      </c>
      <c r="AM14" s="19">
        <v>5.4185857491194804</v>
      </c>
      <c r="AN14">
        <v>0.10863596462607468</v>
      </c>
      <c r="AO14" s="20">
        <v>7.9119999999999996E-2</v>
      </c>
      <c r="AP14">
        <v>1.72E-3</v>
      </c>
      <c r="AR14" s="31" t="s">
        <v>736</v>
      </c>
      <c r="AS14">
        <v>3.3535718300263202</v>
      </c>
      <c r="AT14">
        <v>5.0516172773906402E-2</v>
      </c>
      <c r="AU14">
        <v>0.101379169928708</v>
      </c>
      <c r="AV14">
        <v>5.0559428678034703E-4</v>
      </c>
      <c r="AX14" s="31" t="s">
        <v>874</v>
      </c>
      <c r="AY14">
        <v>3.0023880398773399</v>
      </c>
      <c r="AZ14">
        <v>3.99018634774089E-2</v>
      </c>
      <c r="BA14">
        <v>0.114121806537854</v>
      </c>
      <c r="BB14">
        <v>1.0801014058589001E-3</v>
      </c>
      <c r="BD14" s="31" t="s">
        <v>1023</v>
      </c>
      <c r="BE14">
        <v>3.1145365730735999</v>
      </c>
      <c r="BF14">
        <v>0.117461678384122</v>
      </c>
      <c r="BG14">
        <v>0.107522465387028</v>
      </c>
      <c r="BH14">
        <v>1.43692600862956E-3</v>
      </c>
    </row>
    <row r="15" spans="1:60" x14ac:dyDescent="0.25">
      <c r="A15" s="9" t="s">
        <v>110</v>
      </c>
      <c r="B15" s="2">
        <v>3.1739923435041102</v>
      </c>
      <c r="C15" s="2">
        <v>0.12487865284953099</v>
      </c>
      <c r="D15" s="2">
        <v>0.104125279199709</v>
      </c>
      <c r="E15" s="2">
        <v>4.5665139402982597E-3</v>
      </c>
      <c r="F15" s="2"/>
      <c r="G15" s="9" t="s">
        <v>205</v>
      </c>
      <c r="H15" s="2">
        <v>4.3694417041848999</v>
      </c>
      <c r="I15" s="2">
        <v>0.14019395480647301</v>
      </c>
      <c r="J15" s="2">
        <v>8.4493946525339994E-2</v>
      </c>
      <c r="K15" s="2">
        <v>4.0896797789416704E-3</v>
      </c>
      <c r="L15" s="2"/>
      <c r="M15" s="9" t="s">
        <v>237</v>
      </c>
      <c r="N15" s="2">
        <v>5.7938811622879696</v>
      </c>
      <c r="O15" s="2">
        <v>0.15082617534571499</v>
      </c>
      <c r="P15" s="2">
        <v>7.2390809182953E-2</v>
      </c>
      <c r="Q15" s="2">
        <v>2.8947222900966799E-3</v>
      </c>
      <c r="R15" s="2"/>
      <c r="S15" s="7" t="s">
        <v>24</v>
      </c>
      <c r="T15" s="8">
        <v>4.7036688617121349</v>
      </c>
      <c r="U15" s="4">
        <v>0.20885528718044477</v>
      </c>
      <c r="V15" s="4">
        <v>8.4709999999999994E-2</v>
      </c>
      <c r="W15" s="4">
        <v>2.2000000000000001E-3</v>
      </c>
      <c r="X15" s="4">
        <v>0.86299999999999999</v>
      </c>
      <c r="Z15" s="23" t="s">
        <v>407</v>
      </c>
      <c r="AA15" s="17">
        <v>3.3038064154637099</v>
      </c>
      <c r="AB15" s="17">
        <v>0.10282077803690499</v>
      </c>
      <c r="AC15" s="17">
        <v>0.105436327520324</v>
      </c>
      <c r="AD15" s="17">
        <v>6.85894596278027E-4</v>
      </c>
      <c r="AF15" s="28" t="s">
        <v>526</v>
      </c>
      <c r="AG15" s="14">
        <f t="shared" si="0"/>
        <v>0.30268117263754502</v>
      </c>
      <c r="AH15" s="14">
        <f t="shared" si="1"/>
        <v>1.8840034647336915E-2</v>
      </c>
      <c r="AI15" s="14">
        <v>8.1909999999999997E-2</v>
      </c>
      <c r="AJ15" s="14">
        <f t="shared" si="2"/>
        <v>1.371789192556054E-3</v>
      </c>
      <c r="AL15" s="29" t="s">
        <v>641</v>
      </c>
      <c r="AM15" s="19">
        <v>5.6911957202208185</v>
      </c>
      <c r="AN15">
        <v>0.11530736306406074</v>
      </c>
      <c r="AO15" s="20">
        <v>7.6530000000000001E-2</v>
      </c>
      <c r="AP15">
        <v>2E-3</v>
      </c>
      <c r="AR15" s="31" t="s">
        <v>737</v>
      </c>
      <c r="AS15">
        <v>3.59469073166261</v>
      </c>
      <c r="AT15">
        <v>5.0278934087402402E-2</v>
      </c>
      <c r="AU15">
        <v>0.100012769466839</v>
      </c>
      <c r="AV15">
        <v>4.1472034589781298E-4</v>
      </c>
      <c r="AX15" s="31" t="s">
        <v>875</v>
      </c>
      <c r="AY15">
        <v>3.1114389630019899</v>
      </c>
      <c r="AZ15">
        <v>4.5129592494706799E-2</v>
      </c>
      <c r="BA15">
        <v>0.112706742698876</v>
      </c>
      <c r="BB15">
        <v>4.5049925166017798E-4</v>
      </c>
      <c r="BD15" s="31" t="s">
        <v>1024</v>
      </c>
      <c r="BE15">
        <v>3.3319850282722001</v>
      </c>
      <c r="BF15">
        <v>5.0972437237844198E-2</v>
      </c>
      <c r="BG15">
        <v>0.10692571132159499</v>
      </c>
      <c r="BH15">
        <v>5.2318401053089104E-4</v>
      </c>
    </row>
    <row r="16" spans="1:60" x14ac:dyDescent="0.25">
      <c r="A16" s="9" t="s">
        <v>111</v>
      </c>
      <c r="B16" s="2">
        <v>6.1946930636148601</v>
      </c>
      <c r="C16" s="2">
        <v>0.14860370117365801</v>
      </c>
      <c r="D16" s="2">
        <v>7.1004904706344796E-2</v>
      </c>
      <c r="E16" s="2">
        <v>2.8737204344586702E-3</v>
      </c>
      <c r="F16" s="2"/>
      <c r="G16" s="9" t="s">
        <v>206</v>
      </c>
      <c r="H16" s="2">
        <v>5.6211406052312496</v>
      </c>
      <c r="I16" s="2">
        <v>0.18464654459770199</v>
      </c>
      <c r="J16" s="2">
        <v>7.2933992374185005E-2</v>
      </c>
      <c r="K16" s="2">
        <v>4.6061787635492202E-3</v>
      </c>
      <c r="L16" s="2"/>
      <c r="M16" s="9" t="s">
        <v>238</v>
      </c>
      <c r="N16" s="2">
        <v>5.6733070739470604</v>
      </c>
      <c r="O16" s="2">
        <v>0.14703502177949501</v>
      </c>
      <c r="P16" s="2">
        <v>7.4426397890714605E-2</v>
      </c>
      <c r="Q16" s="2">
        <v>3.60338669785638E-3</v>
      </c>
      <c r="R16" s="2"/>
      <c r="S16" s="7" t="s">
        <v>25</v>
      </c>
      <c r="T16" s="8">
        <v>4.824624885415159</v>
      </c>
      <c r="U16" s="4">
        <v>0.14059311192120208</v>
      </c>
      <c r="V16" s="4">
        <v>8.4680000000000005E-2</v>
      </c>
      <c r="W16" s="4">
        <v>2.2000000000000001E-3</v>
      </c>
      <c r="X16" s="4">
        <v>0.746</v>
      </c>
      <c r="Z16" s="23" t="s">
        <v>408</v>
      </c>
      <c r="AA16" s="17">
        <v>3.5906496075033498</v>
      </c>
      <c r="AB16" s="17">
        <v>0.140886865054452</v>
      </c>
      <c r="AC16" s="17">
        <v>0.104859497163135</v>
      </c>
      <c r="AD16" s="17">
        <v>5.1240759190682096E-4</v>
      </c>
      <c r="AF16" s="28" t="s">
        <v>527</v>
      </c>
      <c r="AG16" s="14">
        <f t="shared" si="0"/>
        <v>0.27850113748506916</v>
      </c>
      <c r="AH16" s="14">
        <f t="shared" si="1"/>
        <v>2.1855183024473777E-2</v>
      </c>
      <c r="AI16" s="14">
        <v>8.1750000000000003E-2</v>
      </c>
      <c r="AJ16" s="14">
        <f t="shared" si="2"/>
        <v>1.0248151838136419E-3</v>
      </c>
      <c r="AL16" s="29" t="s">
        <v>642</v>
      </c>
      <c r="AM16" s="19">
        <v>5.8840835539864669</v>
      </c>
      <c r="AN16">
        <v>0.1218709862314349</v>
      </c>
      <c r="AO16" s="20">
        <v>7.6119999999999993E-2</v>
      </c>
      <c r="AP16">
        <v>2.16E-3</v>
      </c>
      <c r="AR16" s="31" t="s">
        <v>738</v>
      </c>
      <c r="AS16">
        <v>3.5730061048184498</v>
      </c>
      <c r="AT16">
        <v>3.9256581801424502E-2</v>
      </c>
      <c r="AU16">
        <v>9.9596817051526093E-2</v>
      </c>
      <c r="AV16">
        <v>5.7304898842843702E-4</v>
      </c>
      <c r="AX16" s="31" t="s">
        <v>876</v>
      </c>
      <c r="AY16">
        <v>3.0148217287679602</v>
      </c>
      <c r="AZ16">
        <v>2.58671950791775E-2</v>
      </c>
      <c r="BA16">
        <v>0.11183458952487201</v>
      </c>
      <c r="BB16">
        <v>9.0927387621820297E-4</v>
      </c>
      <c r="BD16" s="31" t="s">
        <v>1025</v>
      </c>
      <c r="BE16">
        <v>3.4231128865199398</v>
      </c>
      <c r="BF16">
        <v>5.8484611881497499E-2</v>
      </c>
      <c r="BG16">
        <v>0.10610475015293</v>
      </c>
      <c r="BH16">
        <v>4.4484266748484499E-4</v>
      </c>
    </row>
    <row r="17" spans="1:60" x14ac:dyDescent="0.25">
      <c r="A17" s="9" t="s">
        <v>112</v>
      </c>
      <c r="B17" s="2">
        <v>6.3620524088672203</v>
      </c>
      <c r="C17" s="2">
        <v>0.18655174495617699</v>
      </c>
      <c r="D17" s="2">
        <v>6.9006417899386205E-2</v>
      </c>
      <c r="E17" s="2">
        <v>2.2419821620028898E-3</v>
      </c>
      <c r="F17" s="2"/>
      <c r="G17" s="9" t="s">
        <v>207</v>
      </c>
      <c r="H17" s="2">
        <v>5.6889487457682</v>
      </c>
      <c r="I17" s="2">
        <v>0.16347814697937599</v>
      </c>
      <c r="J17" s="2">
        <v>7.4271424219962898E-2</v>
      </c>
      <c r="K17" s="2">
        <v>4.6256776935930301E-3</v>
      </c>
      <c r="L17" s="2"/>
      <c r="M17" s="9" t="s">
        <v>239</v>
      </c>
      <c r="N17" s="2">
        <v>5.6641603366936604</v>
      </c>
      <c r="O17" s="2">
        <v>0.13290750772353499</v>
      </c>
      <c r="P17" s="2">
        <v>7.3601852003476395E-2</v>
      </c>
      <c r="Q17" s="2">
        <v>2.85705790061558E-3</v>
      </c>
      <c r="R17" s="2"/>
      <c r="S17" s="7" t="s">
        <v>26</v>
      </c>
      <c r="T17" s="8">
        <v>4.7553378667554327</v>
      </c>
      <c r="U17" s="4">
        <v>0.19130799540040402</v>
      </c>
      <c r="V17" s="4">
        <v>8.4680000000000005E-2</v>
      </c>
      <c r="W17" s="4">
        <v>1.98E-3</v>
      </c>
      <c r="X17" s="4">
        <v>0.86499999999999999</v>
      </c>
      <c r="Z17" s="23" t="s">
        <v>409</v>
      </c>
      <c r="AA17" s="17">
        <v>3.3395559357127702</v>
      </c>
      <c r="AB17" s="17">
        <v>0.10079022105373101</v>
      </c>
      <c r="AC17" s="17">
        <v>0.10447643911138001</v>
      </c>
      <c r="AD17" s="17">
        <v>3.1729313005648897E-4</v>
      </c>
      <c r="AF17" s="28" t="s">
        <v>528</v>
      </c>
      <c r="AG17" s="14">
        <f t="shared" si="0"/>
        <v>0.29944100929891071</v>
      </c>
      <c r="AH17" s="14">
        <f t="shared" si="1"/>
        <v>1.8074693822038336E-2</v>
      </c>
      <c r="AI17" s="14">
        <v>7.9299999999999995E-2</v>
      </c>
      <c r="AJ17" s="14">
        <f t="shared" si="2"/>
        <v>6.3458626011297795E-4</v>
      </c>
      <c r="AL17" s="29" t="s">
        <v>643</v>
      </c>
      <c r="AM17" s="19">
        <v>5.8962264150943398</v>
      </c>
      <c r="AN17">
        <v>0.11750734247063013</v>
      </c>
      <c r="AO17" s="20">
        <v>7.5410000000000005E-2</v>
      </c>
      <c r="AP17">
        <v>1.8000000000000002E-3</v>
      </c>
      <c r="AR17" s="31" t="s">
        <v>739</v>
      </c>
      <c r="AS17">
        <v>3.4943658923340299</v>
      </c>
      <c r="AT17">
        <v>3.9639100606652898E-2</v>
      </c>
      <c r="AU17">
        <v>9.8140559861720905E-2</v>
      </c>
      <c r="AV17">
        <v>6.3930264290827904E-4</v>
      </c>
      <c r="AX17" s="31" t="s">
        <v>877</v>
      </c>
      <c r="AY17">
        <v>3.07674057704314</v>
      </c>
      <c r="AZ17">
        <v>2.8121542477755002E-2</v>
      </c>
      <c r="BA17">
        <v>0.110040065542734</v>
      </c>
      <c r="BB17">
        <v>5.1018846640250295E-4</v>
      </c>
      <c r="BD17" s="31" t="s">
        <v>1026</v>
      </c>
      <c r="BE17">
        <v>3.2697653138597502</v>
      </c>
      <c r="BF17">
        <v>5.5551471223449798E-2</v>
      </c>
      <c r="BG17">
        <v>0.104749292385624</v>
      </c>
      <c r="BH17">
        <v>5.38303855374519E-4</v>
      </c>
    </row>
    <row r="18" spans="1:60" x14ac:dyDescent="0.25">
      <c r="A18" s="9" t="s">
        <v>113</v>
      </c>
      <c r="B18" s="2">
        <v>5.1361141918439897</v>
      </c>
      <c r="C18" s="2">
        <v>0.12642853005558999</v>
      </c>
      <c r="D18" s="2">
        <v>7.6982628445915496E-2</v>
      </c>
      <c r="E18" s="2">
        <v>2.5957378363323201E-3</v>
      </c>
      <c r="F18" s="2"/>
      <c r="G18" s="9" t="s">
        <v>208</v>
      </c>
      <c r="H18" s="2">
        <v>1.8507022772892401</v>
      </c>
      <c r="I18" s="2">
        <v>6.4925152480655099E-2</v>
      </c>
      <c r="J18" s="2">
        <v>0.186354255758162</v>
      </c>
      <c r="K18" s="2">
        <v>1.03357117739059E-2</v>
      </c>
      <c r="L18" s="2"/>
      <c r="M18" s="9" t="s">
        <v>240</v>
      </c>
      <c r="N18" s="2">
        <v>5.5978674858824897</v>
      </c>
      <c r="O18" s="2">
        <v>0.160974220842452</v>
      </c>
      <c r="P18" s="2">
        <v>7.4114680817061698E-2</v>
      </c>
      <c r="Q18" s="2">
        <v>3.6343023468711302E-3</v>
      </c>
      <c r="R18" s="2"/>
      <c r="S18" s="7" t="s">
        <v>27</v>
      </c>
      <c r="T18" s="8">
        <v>4.8069989905302117</v>
      </c>
      <c r="U18" s="4">
        <v>0.12755196090817081</v>
      </c>
      <c r="V18" s="4">
        <v>8.4510000000000002E-2</v>
      </c>
      <c r="W18" s="4">
        <v>1.98E-3</v>
      </c>
      <c r="X18" s="4">
        <v>0.748</v>
      </c>
      <c r="Z18" s="23" t="s">
        <v>410</v>
      </c>
      <c r="AA18" s="17">
        <v>3.4391147632066401</v>
      </c>
      <c r="AB18" s="17">
        <v>0.13063116802909</v>
      </c>
      <c r="AC18" s="17">
        <v>0.10445121170694099</v>
      </c>
      <c r="AD18" s="17">
        <v>3.6712421958318099E-4</v>
      </c>
      <c r="AF18" s="28" t="s">
        <v>529</v>
      </c>
      <c r="AG18" s="14">
        <f t="shared" si="0"/>
        <v>0.2907725007314374</v>
      </c>
      <c r="AH18" s="14">
        <f t="shared" si="1"/>
        <v>2.2089377073227272E-2</v>
      </c>
      <c r="AI18" s="14">
        <v>7.9130000000000006E-2</v>
      </c>
      <c r="AJ18" s="14">
        <f t="shared" si="2"/>
        <v>7.3424843916636198E-4</v>
      </c>
      <c r="AL18" s="29" t="s">
        <v>644</v>
      </c>
      <c r="AM18" s="19">
        <v>5.9797883154936322</v>
      </c>
      <c r="AN18">
        <v>0.12872832587321101</v>
      </c>
      <c r="AO18" s="20">
        <v>7.5300000000000006E-2</v>
      </c>
      <c r="AP18">
        <v>2.5200000000000001E-3</v>
      </c>
      <c r="AR18" s="31" t="s">
        <v>740</v>
      </c>
      <c r="AS18">
        <v>3.8133112251168901</v>
      </c>
      <c r="AT18">
        <v>3.33712715062972E-2</v>
      </c>
      <c r="AU18">
        <v>9.57704060027878E-2</v>
      </c>
      <c r="AV18">
        <v>4.84245513407019E-4</v>
      </c>
      <c r="AX18" s="31" t="s">
        <v>878</v>
      </c>
      <c r="AY18">
        <v>3.2371939584509701</v>
      </c>
      <c r="AZ18">
        <v>4.2037194309283099E-2</v>
      </c>
      <c r="BA18">
        <v>0.109887044839304</v>
      </c>
      <c r="BB18">
        <v>5.7414867977211503E-4</v>
      </c>
      <c r="BD18" s="31" t="s">
        <v>1027</v>
      </c>
      <c r="BE18">
        <v>3.2510669150229101</v>
      </c>
      <c r="BF18">
        <v>6.3876250875670296E-2</v>
      </c>
      <c r="BG18">
        <v>0.10481622239918401</v>
      </c>
      <c r="BH18">
        <v>4.6817988458355001E-4</v>
      </c>
    </row>
    <row r="19" spans="1:60" x14ac:dyDescent="0.25">
      <c r="A19" s="9" t="s">
        <v>114</v>
      </c>
      <c r="B19" s="2">
        <v>9.7855480783077091</v>
      </c>
      <c r="C19" s="2">
        <v>0.32456857408642997</v>
      </c>
      <c r="D19" s="2">
        <v>6.0116289029335697E-2</v>
      </c>
      <c r="E19" s="2">
        <v>1.9359059368464699E-3</v>
      </c>
      <c r="F19" s="2"/>
      <c r="G19" s="9" t="s">
        <v>209</v>
      </c>
      <c r="H19" s="2">
        <v>1.8903299113473999</v>
      </c>
      <c r="I19" s="2">
        <v>8.1492041080441197E-2</v>
      </c>
      <c r="J19" s="2">
        <v>0.184824546377999</v>
      </c>
      <c r="K19" s="2">
        <v>1.1863473723573501E-2</v>
      </c>
      <c r="L19" s="2"/>
      <c r="M19" s="9" t="s">
        <v>241</v>
      </c>
      <c r="N19" s="2">
        <v>5.8038265961417004</v>
      </c>
      <c r="O19" s="2">
        <v>0.230223680241402</v>
      </c>
      <c r="P19" s="2">
        <v>7.5165188759185805E-2</v>
      </c>
      <c r="Q19" s="2">
        <v>5.3467205841678999E-3</v>
      </c>
      <c r="R19" s="2"/>
      <c r="S19" s="7" t="s">
        <v>28</v>
      </c>
      <c r="T19" s="8">
        <v>5.206164098292378</v>
      </c>
      <c r="U19" s="4">
        <v>0.13335239152227457</v>
      </c>
      <c r="V19" s="4">
        <v>8.0629999999999993E-2</v>
      </c>
      <c r="W19" s="4">
        <v>1.9400000000000001E-3</v>
      </c>
      <c r="X19" s="4">
        <v>0.72899999999999998</v>
      </c>
      <c r="Z19" s="23" t="s">
        <v>411</v>
      </c>
      <c r="AA19" s="17">
        <v>3.4109104595878201</v>
      </c>
      <c r="AB19" s="17">
        <v>0.102310711173628</v>
      </c>
      <c r="AC19" s="17">
        <v>0.104437271461874</v>
      </c>
      <c r="AD19" s="17">
        <v>3.7883288234408002E-4</v>
      </c>
      <c r="AF19" s="28" t="s">
        <v>530</v>
      </c>
      <c r="AG19" s="14">
        <f t="shared" si="0"/>
        <v>0.29317685463981413</v>
      </c>
      <c r="AH19" s="14">
        <f t="shared" si="1"/>
        <v>1.758775720044636E-2</v>
      </c>
      <c r="AI19" s="14">
        <v>7.8600000000000003E-2</v>
      </c>
      <c r="AJ19" s="14">
        <f t="shared" si="2"/>
        <v>7.5766576468816005E-4</v>
      </c>
      <c r="AL19" s="29" t="s">
        <v>645</v>
      </c>
      <c r="AM19" s="19">
        <v>6.0161232102033448</v>
      </c>
      <c r="AN19">
        <v>0.12305871083318116</v>
      </c>
      <c r="AO19" s="20">
        <v>7.4880000000000002E-2</v>
      </c>
      <c r="AP19">
        <v>2.14E-3</v>
      </c>
      <c r="AR19" s="31" t="s">
        <v>741</v>
      </c>
      <c r="AS19">
        <v>3.8007235586036798</v>
      </c>
      <c r="AT19">
        <v>3.3426064811572599E-2</v>
      </c>
      <c r="AU19">
        <v>9.3590957775626593E-2</v>
      </c>
      <c r="AV19">
        <v>4.7974124152984398E-4</v>
      </c>
      <c r="AX19" s="31" t="s">
        <v>879</v>
      </c>
      <c r="AY19">
        <v>3.0916146153168098</v>
      </c>
      <c r="AZ19">
        <v>2.6530368293326799E-2</v>
      </c>
      <c r="BA19">
        <v>0.109588848885394</v>
      </c>
      <c r="BB19">
        <v>4.9840664110034898E-4</v>
      </c>
      <c r="BD19" s="31" t="s">
        <v>1028</v>
      </c>
      <c r="BE19">
        <v>3.3083041264777302</v>
      </c>
      <c r="BF19">
        <v>5.2267303943981998E-2</v>
      </c>
      <c r="BG19">
        <v>0.104726526187154</v>
      </c>
      <c r="BH19">
        <v>4.0418670702563602E-4</v>
      </c>
    </row>
    <row r="20" spans="1:60" x14ac:dyDescent="0.25">
      <c r="A20" s="9" t="s">
        <v>115</v>
      </c>
      <c r="B20" s="2">
        <v>2.88915296584734</v>
      </c>
      <c r="C20" s="2">
        <v>7.2819575095204897E-2</v>
      </c>
      <c r="D20" s="2">
        <v>0.113711411938373</v>
      </c>
      <c r="E20" s="2">
        <v>4.3306136038511502E-3</v>
      </c>
      <c r="F20" s="2"/>
      <c r="G20" s="9" t="s">
        <v>210</v>
      </c>
      <c r="H20" s="2">
        <v>3.4087203435246298</v>
      </c>
      <c r="I20" s="2">
        <v>0.114677124379612</v>
      </c>
      <c r="J20" s="2">
        <v>0.107541474662483</v>
      </c>
      <c r="K20" s="2">
        <v>6.1175301556729402E-3</v>
      </c>
      <c r="L20" s="2"/>
      <c r="M20" s="9" t="s">
        <v>242</v>
      </c>
      <c r="N20" s="2">
        <v>5.4063302269040099</v>
      </c>
      <c r="O20" s="2">
        <v>0.12806541383396</v>
      </c>
      <c r="P20" s="2">
        <v>7.4502780224442705E-2</v>
      </c>
      <c r="Q20" s="2">
        <v>2.8019731972835499E-3</v>
      </c>
      <c r="R20" s="2"/>
      <c r="S20" s="7" t="s">
        <v>29</v>
      </c>
      <c r="T20" s="8">
        <v>5.3553258715792857</v>
      </c>
      <c r="U20" s="4">
        <v>0.17494504266391925</v>
      </c>
      <c r="V20" s="4">
        <v>8.0360000000000001E-2</v>
      </c>
      <c r="W20" s="4">
        <v>2.0200000000000001E-3</v>
      </c>
      <c r="X20" s="4">
        <v>0.79300000000000004</v>
      </c>
      <c r="Z20" s="23" t="s">
        <v>412</v>
      </c>
      <c r="AA20" s="17">
        <v>3.5973220222843101</v>
      </c>
      <c r="AB20" s="17">
        <v>0.137009806948859</v>
      </c>
      <c r="AC20" s="17">
        <v>0.104253305869812</v>
      </c>
      <c r="AD20" s="17">
        <v>2.9007732618949601E-4</v>
      </c>
      <c r="AF20" s="28" t="s">
        <v>531</v>
      </c>
      <c r="AG20" s="14">
        <f t="shared" si="0"/>
        <v>0.2779845656867263</v>
      </c>
      <c r="AH20" s="14">
        <f t="shared" si="1"/>
        <v>2.117498041241005E-2</v>
      </c>
      <c r="AI20" s="14">
        <v>7.8530000000000003E-2</v>
      </c>
      <c r="AJ20" s="14">
        <f t="shared" si="2"/>
        <v>5.8015465237899202E-4</v>
      </c>
      <c r="AL20" s="29" t="s">
        <v>646</v>
      </c>
      <c r="AM20" s="19">
        <v>6.0635459616783889</v>
      </c>
      <c r="AN20">
        <v>0.12353574115473796</v>
      </c>
      <c r="AO20" s="20">
        <v>7.4639999999999998E-2</v>
      </c>
      <c r="AP20">
        <v>1.9599999999999999E-3</v>
      </c>
      <c r="AR20" s="31" t="s">
        <v>742</v>
      </c>
      <c r="AS20">
        <v>3.9185653188615999</v>
      </c>
      <c r="AT20">
        <v>6.3047929318499202E-2</v>
      </c>
      <c r="AU20">
        <v>9.2607911650582506E-2</v>
      </c>
      <c r="AV20">
        <v>3.7928702004156798E-4</v>
      </c>
      <c r="AX20" s="31" t="s">
        <v>880</v>
      </c>
      <c r="AY20">
        <v>3.1018128218369001</v>
      </c>
      <c r="AZ20">
        <v>6.1357897293514901E-2</v>
      </c>
      <c r="BA20">
        <v>0.10945974373093301</v>
      </c>
      <c r="BB20">
        <v>7.6455157153486396E-4</v>
      </c>
      <c r="BD20" s="31" t="s">
        <v>1029</v>
      </c>
      <c r="BE20">
        <v>3.5501764877078199</v>
      </c>
      <c r="BF20">
        <v>5.4371891140579998E-2</v>
      </c>
      <c r="BG20">
        <v>0.104695584241232</v>
      </c>
      <c r="BH20">
        <v>2.8941842464077502E-4</v>
      </c>
    </row>
    <row r="21" spans="1:60" x14ac:dyDescent="0.25">
      <c r="A21" s="9" t="s">
        <v>116</v>
      </c>
      <c r="B21" s="2">
        <v>3.4134122420969502</v>
      </c>
      <c r="C21" s="2">
        <v>0.12245319115417</v>
      </c>
      <c r="D21" s="2">
        <v>9.8867138593202106E-2</v>
      </c>
      <c r="E21" s="2">
        <v>4.0821873069799598E-3</v>
      </c>
      <c r="F21" s="2"/>
      <c r="G21" s="9" t="s">
        <v>211</v>
      </c>
      <c r="H21" s="2">
        <v>5.0745755040670497</v>
      </c>
      <c r="I21" s="2">
        <v>0.19056160151714199</v>
      </c>
      <c r="J21" s="2">
        <v>7.9746817291591596E-2</v>
      </c>
      <c r="K21" s="2">
        <v>4.2537320025399098E-3</v>
      </c>
      <c r="L21" s="2"/>
      <c r="M21" s="9" t="s">
        <v>243</v>
      </c>
      <c r="N21" s="2">
        <v>5.7274329048073298</v>
      </c>
      <c r="O21" s="2">
        <v>0.16433453641206899</v>
      </c>
      <c r="P21" s="2">
        <v>7.3894881559864595E-2</v>
      </c>
      <c r="Q21" s="2">
        <v>4.0564104228516902E-3</v>
      </c>
      <c r="R21" s="2"/>
      <c r="S21" s="7" t="s">
        <v>30</v>
      </c>
      <c r="T21" s="8">
        <v>5.5469270024406478</v>
      </c>
      <c r="U21" s="4">
        <v>0.1544573638354341</v>
      </c>
      <c r="V21" s="4">
        <v>7.7530000000000002E-2</v>
      </c>
      <c r="W21" s="4">
        <v>1.8400000000000001E-3</v>
      </c>
      <c r="X21" s="4">
        <v>0.76100000000000001</v>
      </c>
      <c r="Z21" s="23" t="s">
        <v>413</v>
      </c>
      <c r="AA21" s="17">
        <v>3.3110425929909399</v>
      </c>
      <c r="AB21" s="17">
        <v>0.10310801097726401</v>
      </c>
      <c r="AC21" s="17">
        <v>0.104013140340193</v>
      </c>
      <c r="AD21" s="17">
        <v>4.6758830704599899E-4</v>
      </c>
      <c r="AF21" s="28" t="s">
        <v>532</v>
      </c>
      <c r="AG21" s="14">
        <f t="shared" si="0"/>
        <v>0.3020196726302688</v>
      </c>
      <c r="AH21" s="14">
        <f t="shared" si="1"/>
        <v>1.8810176460328398E-2</v>
      </c>
      <c r="AI21" s="14">
        <v>7.7979999999999994E-2</v>
      </c>
      <c r="AJ21" s="14">
        <f t="shared" si="2"/>
        <v>9.3517661409199798E-4</v>
      </c>
      <c r="AL21" s="29" t="s">
        <v>647</v>
      </c>
      <c r="AM21" s="19">
        <v>6.3119358707315536</v>
      </c>
      <c r="AN21">
        <v>0.13147376363955141</v>
      </c>
      <c r="AO21" s="20">
        <v>7.3520000000000002E-2</v>
      </c>
      <c r="AP21">
        <v>2.16E-3</v>
      </c>
      <c r="AR21" s="31" t="s">
        <v>743</v>
      </c>
      <c r="AS21">
        <v>3.8728468073489202</v>
      </c>
      <c r="AT21">
        <v>6.0400505412561999E-2</v>
      </c>
      <c r="AU21">
        <v>9.2221880169103904E-2</v>
      </c>
      <c r="AV21">
        <v>3.91431738966003E-4</v>
      </c>
      <c r="AX21" s="31" t="s">
        <v>881</v>
      </c>
      <c r="AY21">
        <v>3.1532979504626999</v>
      </c>
      <c r="AZ21">
        <v>5.88748904502489E-2</v>
      </c>
      <c r="BA21">
        <v>0.109102274486558</v>
      </c>
      <c r="BB21">
        <v>9.1532067402092605E-4</v>
      </c>
      <c r="BD21" s="31" t="s">
        <v>1030</v>
      </c>
      <c r="BE21">
        <v>3.3777103543629701</v>
      </c>
      <c r="BF21">
        <v>5.3890421742355997E-2</v>
      </c>
      <c r="BG21">
        <v>0.10434360402579</v>
      </c>
      <c r="BH21">
        <v>6.3130501878753097E-4</v>
      </c>
    </row>
    <row r="22" spans="1:60" x14ac:dyDescent="0.25">
      <c r="A22" s="9" t="s">
        <v>117</v>
      </c>
      <c r="B22" s="2">
        <v>3.4194282592388099</v>
      </c>
      <c r="C22" s="2">
        <v>9.4198643635498597E-2</v>
      </c>
      <c r="D22" s="2">
        <v>9.9622028069727406E-2</v>
      </c>
      <c r="E22" s="2">
        <v>5.5099913336392903E-3</v>
      </c>
      <c r="F22" s="2"/>
      <c r="G22" s="9" t="s">
        <v>212</v>
      </c>
      <c r="H22" s="2">
        <v>5.4714932379866896</v>
      </c>
      <c r="I22" s="2">
        <v>0.180274948748815</v>
      </c>
      <c r="J22" s="2">
        <v>7.5185220005912601E-2</v>
      </c>
      <c r="K22" s="2">
        <v>4.3071294490124E-3</v>
      </c>
      <c r="L22" s="2"/>
      <c r="M22" s="9" t="s">
        <v>244</v>
      </c>
      <c r="N22" s="2">
        <v>3.6590989702965602</v>
      </c>
      <c r="O22" s="2">
        <v>0.10990353743781101</v>
      </c>
      <c r="P22" s="2">
        <v>9.2616736248754203E-2</v>
      </c>
      <c r="Q22" s="2">
        <v>3.2006167794946601E-3</v>
      </c>
      <c r="R22" s="2"/>
      <c r="S22" s="7" t="s">
        <v>31</v>
      </c>
      <c r="T22" s="8">
        <v>5.561425949613481</v>
      </c>
      <c r="U22" s="4">
        <v>0.15093575793400693</v>
      </c>
      <c r="V22" s="4">
        <v>7.7289999999999998E-2</v>
      </c>
      <c r="W22" s="4">
        <v>2.0999999999999999E-3</v>
      </c>
      <c r="X22" s="4">
        <v>0.70799999999999996</v>
      </c>
      <c r="Z22" s="23" t="s">
        <v>414</v>
      </c>
      <c r="AA22" s="17">
        <v>3.4269689866687498</v>
      </c>
      <c r="AB22" s="17">
        <v>0.103408542218521</v>
      </c>
      <c r="AC22" s="17">
        <v>0.103772109378803</v>
      </c>
      <c r="AD22" s="17">
        <v>3.8602409598691498E-4</v>
      </c>
      <c r="AF22" s="28" t="s">
        <v>533</v>
      </c>
      <c r="AG22" s="14">
        <f t="shared" si="0"/>
        <v>0.29180304925142286</v>
      </c>
      <c r="AH22" s="14">
        <f t="shared" si="1"/>
        <v>1.761027196650591E-2</v>
      </c>
      <c r="AI22" s="14">
        <v>7.6160000000000005E-2</v>
      </c>
      <c r="AJ22" s="14">
        <f t="shared" si="2"/>
        <v>7.7204819197382996E-4</v>
      </c>
      <c r="AL22" s="29" t="s">
        <v>648</v>
      </c>
      <c r="AM22" s="19">
        <v>5.5096418732782375</v>
      </c>
      <c r="AN22">
        <v>0.11049639900128254</v>
      </c>
      <c r="AO22" s="20">
        <v>7.3419999999999999E-2</v>
      </c>
      <c r="AP22">
        <v>1.82E-3</v>
      </c>
      <c r="AR22" s="31" t="s">
        <v>744</v>
      </c>
      <c r="AS22">
        <v>3.9379984393149199</v>
      </c>
      <c r="AT22">
        <v>5.7524060880179001E-2</v>
      </c>
      <c r="AU22">
        <v>9.1827840033043798E-2</v>
      </c>
      <c r="AV22">
        <v>4.4379148116453299E-4</v>
      </c>
      <c r="AX22" s="31" t="s">
        <v>882</v>
      </c>
      <c r="AY22">
        <v>3.27547085466967</v>
      </c>
      <c r="AZ22">
        <v>4.9184113627961802E-2</v>
      </c>
      <c r="BA22">
        <v>0.106500012224594</v>
      </c>
      <c r="BB22">
        <v>7.5754970823898205E-4</v>
      </c>
      <c r="BD22" s="31" t="s">
        <v>1031</v>
      </c>
      <c r="BE22">
        <v>3.29784624804662</v>
      </c>
      <c r="BF22">
        <v>4.9742247285893E-2</v>
      </c>
      <c r="BG22">
        <v>0.104137548750211</v>
      </c>
      <c r="BH22">
        <v>3.1503484646840498E-4</v>
      </c>
    </row>
    <row r="23" spans="1:60" x14ac:dyDescent="0.25">
      <c r="A23" s="9" t="s">
        <v>118</v>
      </c>
      <c r="B23" s="2">
        <v>6.0609703612268104</v>
      </c>
      <c r="C23" s="2">
        <v>0.24636994667619</v>
      </c>
      <c r="D23" s="2">
        <v>7.0913969927028198E-2</v>
      </c>
      <c r="E23" s="2">
        <v>2.6079855633680499E-3</v>
      </c>
      <c r="F23" s="2"/>
      <c r="G23" s="9" t="s">
        <v>213</v>
      </c>
      <c r="H23" s="2">
        <v>5.33063495489397</v>
      </c>
      <c r="I23" s="2">
        <v>0.21463771132186299</v>
      </c>
      <c r="J23" s="2">
        <v>7.4959598738898098E-2</v>
      </c>
      <c r="K23" s="2">
        <v>4.4678310025174197E-3</v>
      </c>
      <c r="L23" s="2"/>
      <c r="M23" s="9" t="s">
        <v>245</v>
      </c>
      <c r="N23" s="2">
        <v>5.8920814298984396</v>
      </c>
      <c r="O23" s="2">
        <v>0.18213020611944</v>
      </c>
      <c r="P23" s="2">
        <v>7.2030643499028005E-2</v>
      </c>
      <c r="Q23" s="2">
        <v>4.3569553820989601E-3</v>
      </c>
      <c r="R23" s="2"/>
      <c r="S23" s="7" t="s">
        <v>32</v>
      </c>
      <c r="T23" s="8">
        <v>5.8799317927912034</v>
      </c>
      <c r="U23" s="4">
        <v>0.17494240531265651</v>
      </c>
      <c r="V23" s="4">
        <v>7.6119999999999993E-2</v>
      </c>
      <c r="W23" s="4">
        <v>1.9400000000000001E-3</v>
      </c>
      <c r="X23" s="4">
        <v>0.76</v>
      </c>
      <c r="Z23" s="23" t="s">
        <v>415</v>
      </c>
      <c r="AA23" s="17">
        <v>3.41761046150171</v>
      </c>
      <c r="AB23" s="17">
        <v>0.103753196904916</v>
      </c>
      <c r="AC23" s="17">
        <v>0.103222347249959</v>
      </c>
      <c r="AD23" s="17">
        <v>3.7321246456981701E-4</v>
      </c>
      <c r="AF23" s="28" t="s">
        <v>534</v>
      </c>
      <c r="AG23" s="14">
        <f t="shared" si="0"/>
        <v>0.29260210058012187</v>
      </c>
      <c r="AH23" s="14">
        <f t="shared" si="1"/>
        <v>1.7765865184613129E-2</v>
      </c>
      <c r="AI23" s="14">
        <v>7.4899999999999994E-2</v>
      </c>
      <c r="AJ23" s="14">
        <f t="shared" si="2"/>
        <v>7.4642492913963403E-4</v>
      </c>
      <c r="AL23" s="29" t="s">
        <v>649</v>
      </c>
      <c r="AM23" s="19">
        <v>6.3407520131887649</v>
      </c>
      <c r="AN23">
        <v>0.1286564354968236</v>
      </c>
      <c r="AO23" s="20">
        <v>7.3289999999999994E-2</v>
      </c>
      <c r="AP23">
        <v>1.7799999999999997E-3</v>
      </c>
      <c r="AR23" s="31" t="s">
        <v>745</v>
      </c>
      <c r="AS23">
        <v>3.8412710395986398</v>
      </c>
      <c r="AT23">
        <v>5.86452828472507E-2</v>
      </c>
      <c r="AU23">
        <v>9.1638450565788704E-2</v>
      </c>
      <c r="AV23">
        <v>4.2280676771519401E-4</v>
      </c>
      <c r="AX23" s="31" t="s">
        <v>883</v>
      </c>
      <c r="AY23">
        <v>3.2543757773511102</v>
      </c>
      <c r="AZ23">
        <v>3.4736605212318701E-2</v>
      </c>
      <c r="BA23">
        <v>0.10607099865226299</v>
      </c>
      <c r="BB23">
        <v>5.2433194925341703E-4</v>
      </c>
      <c r="BD23" s="31" t="s">
        <v>1032</v>
      </c>
      <c r="BE23">
        <v>3.26782438943839</v>
      </c>
      <c r="BF23">
        <v>7.4053487876865595E-2</v>
      </c>
      <c r="BG23">
        <v>0.104099664412437</v>
      </c>
      <c r="BH23">
        <v>9.35891571170406E-4</v>
      </c>
    </row>
    <row r="24" spans="1:60" x14ac:dyDescent="0.25">
      <c r="A24" s="9" t="s">
        <v>119</v>
      </c>
      <c r="B24" s="2">
        <v>5.0717065028855801</v>
      </c>
      <c r="C24" s="2">
        <v>0.11370002930647501</v>
      </c>
      <c r="D24" s="2">
        <v>7.7992294137069901E-2</v>
      </c>
      <c r="E24" s="2">
        <v>2.9954645750586702E-3</v>
      </c>
      <c r="F24" s="2"/>
      <c r="G24" s="9" t="s">
        <v>214</v>
      </c>
      <c r="H24" s="2">
        <v>1.7821468276669299</v>
      </c>
      <c r="I24" s="2">
        <v>5.5003319300402399E-2</v>
      </c>
      <c r="J24" s="2">
        <v>0.205195153471422</v>
      </c>
      <c r="K24" s="2">
        <v>8.7458239170910401E-3</v>
      </c>
      <c r="L24" s="2"/>
      <c r="M24" s="9" t="s">
        <v>246</v>
      </c>
      <c r="N24" s="2">
        <v>3.2656493507840998</v>
      </c>
      <c r="O24" s="2">
        <v>0.10284114306521</v>
      </c>
      <c r="P24" s="2">
        <v>0.103275920467037</v>
      </c>
      <c r="Q24" s="2">
        <v>4.5427509829560498E-3</v>
      </c>
      <c r="R24" s="2"/>
      <c r="S24" s="7" t="s">
        <v>33</v>
      </c>
      <c r="T24" s="8">
        <v>5.7240984544934177</v>
      </c>
      <c r="U24" s="4">
        <v>0.16120529133433095</v>
      </c>
      <c r="V24" s="4">
        <v>7.5819999999999999E-2</v>
      </c>
      <c r="W24" s="4">
        <v>2.4399999999999999E-3</v>
      </c>
      <c r="X24" s="4">
        <v>0.66</v>
      </c>
      <c r="Z24" s="23" t="s">
        <v>416</v>
      </c>
      <c r="AA24" s="17">
        <v>3.5318460201653501</v>
      </c>
      <c r="AB24" s="17">
        <v>0.109739762856381</v>
      </c>
      <c r="AC24" s="17">
        <v>0.10266368892831999</v>
      </c>
      <c r="AD24" s="17">
        <v>6.0438963525610097E-4</v>
      </c>
      <c r="AF24" s="28" t="s">
        <v>535</v>
      </c>
      <c r="AG24" s="14">
        <f t="shared" si="0"/>
        <v>0.28313805140156795</v>
      </c>
      <c r="AH24" s="14">
        <f t="shared" si="1"/>
        <v>1.7595049409867083E-2</v>
      </c>
      <c r="AI24" s="14">
        <v>7.4740000000000001E-2</v>
      </c>
      <c r="AJ24" s="14">
        <f t="shared" si="2"/>
        <v>1.2087792705122019E-3</v>
      </c>
      <c r="AL24" s="29" t="s">
        <v>650</v>
      </c>
      <c r="AM24" s="19">
        <v>10.279605263157894</v>
      </c>
      <c r="AN24">
        <v>0.2071137573580332</v>
      </c>
      <c r="AO24" s="20">
        <v>6.1650000000000003E-2</v>
      </c>
      <c r="AP24">
        <v>1.4400000000000001E-3</v>
      </c>
      <c r="AR24" s="31" t="s">
        <v>746</v>
      </c>
      <c r="AS24">
        <v>4.2288425100921696</v>
      </c>
      <c r="AT24">
        <v>6.5545282639876398E-2</v>
      </c>
      <c r="AU24">
        <v>9.1682571657655004E-2</v>
      </c>
      <c r="AV24">
        <v>7.3128634576539097E-4</v>
      </c>
      <c r="AX24" s="31" t="s">
        <v>884</v>
      </c>
      <c r="AY24">
        <v>3.3301630104176199</v>
      </c>
      <c r="AZ24">
        <v>2.60772675794218E-2</v>
      </c>
      <c r="BA24">
        <v>0.10605390400049899</v>
      </c>
      <c r="BB24">
        <v>8.5343959624413696E-4</v>
      </c>
      <c r="BD24" s="31" t="s">
        <v>1033</v>
      </c>
      <c r="BE24">
        <v>3.4227597383728501</v>
      </c>
      <c r="BF24">
        <v>5.4224708479186097E-2</v>
      </c>
      <c r="BG24">
        <v>0.10401120263845499</v>
      </c>
      <c r="BH24">
        <v>3.1395606544621702E-4</v>
      </c>
    </row>
    <row r="25" spans="1:60" x14ac:dyDescent="0.25">
      <c r="A25" s="9" t="s">
        <v>120</v>
      </c>
      <c r="B25" s="2">
        <v>5.1896750645149501</v>
      </c>
      <c r="C25" s="2">
        <v>0.14119771614170201</v>
      </c>
      <c r="D25" s="2">
        <v>7.6501397807150096E-2</v>
      </c>
      <c r="E25" s="2">
        <v>3.57956196968451E-3</v>
      </c>
      <c r="F25" s="2"/>
      <c r="G25" s="9" t="s">
        <v>215</v>
      </c>
      <c r="H25" s="2">
        <v>6.3397599657583896</v>
      </c>
      <c r="I25" s="2">
        <v>0.22495522628613401</v>
      </c>
      <c r="J25" s="2">
        <v>7.0821703653844104E-2</v>
      </c>
      <c r="K25" s="2">
        <v>3.5064520639941101E-3</v>
      </c>
      <c r="L25" s="2"/>
      <c r="M25" s="9" t="s">
        <v>247</v>
      </c>
      <c r="N25" s="2">
        <v>3.6739573598013502</v>
      </c>
      <c r="O25" s="2">
        <v>0.10330494407858599</v>
      </c>
      <c r="P25" s="2">
        <v>9.5766821162163701E-2</v>
      </c>
      <c r="Q25" s="2">
        <v>4.41915560833488E-3</v>
      </c>
      <c r="R25" s="2"/>
      <c r="S25" s="7" t="s">
        <v>34</v>
      </c>
      <c r="T25" s="8">
        <v>5.9847986115267222</v>
      </c>
      <c r="U25" s="4">
        <v>0.16046380860398418</v>
      </c>
      <c r="V25" s="4">
        <v>7.4569999999999997E-2</v>
      </c>
      <c r="W25" s="4">
        <v>2.8600000000000001E-3</v>
      </c>
      <c r="X25" s="4">
        <v>0.57399999999999995</v>
      </c>
      <c r="Z25" s="23" t="s">
        <v>417</v>
      </c>
      <c r="AA25" s="17">
        <v>3.7148109042146502</v>
      </c>
      <c r="AB25" s="17">
        <v>0.15748461567871899</v>
      </c>
      <c r="AC25" s="17">
        <v>0.10166561358919</v>
      </c>
      <c r="AD25" s="17">
        <v>6.0851766072747505E-4</v>
      </c>
      <c r="AF25" s="28" t="s">
        <v>536</v>
      </c>
      <c r="AG25" s="14">
        <f t="shared" si="0"/>
        <v>0.26919270611202495</v>
      </c>
      <c r="AH25" s="14">
        <f t="shared" si="1"/>
        <v>2.2824154961679846E-2</v>
      </c>
      <c r="AI25" s="14">
        <v>7.4490000000000001E-2</v>
      </c>
      <c r="AJ25" s="14">
        <f t="shared" si="2"/>
        <v>1.2170353214549501E-3</v>
      </c>
      <c r="AL25" s="29" t="s">
        <v>651</v>
      </c>
      <c r="AM25" s="19">
        <v>11.090163025396473</v>
      </c>
      <c r="AN25">
        <v>0.22876459162956017</v>
      </c>
      <c r="AO25" s="20">
        <v>6.0269999999999997E-2</v>
      </c>
      <c r="AP25">
        <v>1.82E-3</v>
      </c>
      <c r="AR25" s="31" t="s">
        <v>747</v>
      </c>
      <c r="AS25">
        <v>3.8959509279491402</v>
      </c>
      <c r="AT25">
        <v>6.0833803154981103E-2</v>
      </c>
      <c r="AU25">
        <v>9.1628075960880295E-2</v>
      </c>
      <c r="AV25">
        <v>6.6420150075597597E-4</v>
      </c>
      <c r="AX25" s="31" t="s">
        <v>885</v>
      </c>
      <c r="AY25">
        <v>3.3969178274015301</v>
      </c>
      <c r="AZ25">
        <v>6.8089314532269102E-2</v>
      </c>
      <c r="BA25">
        <v>0.105683312119436</v>
      </c>
      <c r="BB25">
        <v>1.1210974624984299E-3</v>
      </c>
      <c r="BD25" s="31" t="s">
        <v>1034</v>
      </c>
      <c r="BE25">
        <v>3.3301516075073199</v>
      </c>
      <c r="BF25">
        <v>3.9209573590133301E-2</v>
      </c>
      <c r="BG25">
        <v>0.10394199728602101</v>
      </c>
      <c r="BH25">
        <v>5.4135692206748595E-4</v>
      </c>
    </row>
    <row r="26" spans="1:60" x14ac:dyDescent="0.25">
      <c r="A26" s="9" t="s">
        <v>121</v>
      </c>
      <c r="B26" s="2">
        <v>4.0206420640250498</v>
      </c>
      <c r="C26" s="2">
        <v>0.18452300182876899</v>
      </c>
      <c r="D26" s="2">
        <v>8.7170944860225405E-2</v>
      </c>
      <c r="E26" s="2">
        <v>4.0672472157326396E-3</v>
      </c>
      <c r="F26" s="2"/>
      <c r="G26" s="9" t="s">
        <v>216</v>
      </c>
      <c r="H26" s="2">
        <v>3.3575537340304802</v>
      </c>
      <c r="I26" s="2">
        <v>0.121904159964261</v>
      </c>
      <c r="J26" s="2">
        <v>0.10584307000269701</v>
      </c>
      <c r="K26" s="2">
        <v>6.8330496614215997E-3</v>
      </c>
      <c r="L26" s="2"/>
      <c r="M26" s="9" t="s">
        <v>248</v>
      </c>
      <c r="N26" s="2">
        <v>6.4081449399474</v>
      </c>
      <c r="O26" s="2">
        <v>0.29512127271095401</v>
      </c>
      <c r="P26" s="2">
        <v>7.1235289445723701E-2</v>
      </c>
      <c r="Q26" s="2">
        <v>4.22521813839641E-3</v>
      </c>
      <c r="R26" s="2"/>
      <c r="S26" s="7" t="s">
        <v>35</v>
      </c>
      <c r="T26" s="8">
        <v>6.3331222292590246</v>
      </c>
      <c r="U26" s="4">
        <v>0.1700597736039155</v>
      </c>
      <c r="V26" s="4">
        <v>7.2969999999999993E-2</v>
      </c>
      <c r="W26" s="4">
        <v>2.2799999999999999E-3</v>
      </c>
      <c r="X26" s="4">
        <v>0.65200000000000002</v>
      </c>
      <c r="Z26" s="23" t="s">
        <v>418</v>
      </c>
      <c r="AA26" s="17">
        <v>3.52530008723028</v>
      </c>
      <c r="AB26" s="17">
        <v>0.10569620079915799</v>
      </c>
      <c r="AC26" s="17">
        <v>0.10164645414668</v>
      </c>
      <c r="AD26" s="17">
        <v>3.70266666196052E-4</v>
      </c>
      <c r="AF26" s="28" t="s">
        <v>537</v>
      </c>
      <c r="AG26" s="14">
        <f t="shared" si="0"/>
        <v>0.28366379464327229</v>
      </c>
      <c r="AH26" s="14">
        <f t="shared" si="1"/>
        <v>1.7009720963427264E-2</v>
      </c>
      <c r="AI26" s="14">
        <v>7.4499999999999997E-2</v>
      </c>
      <c r="AJ26" s="14">
        <f t="shared" si="2"/>
        <v>7.40533332392104E-4</v>
      </c>
      <c r="AL26" s="29" t="s">
        <v>652</v>
      </c>
      <c r="AM26" s="19">
        <v>11.348161597821152</v>
      </c>
      <c r="AN26">
        <v>0.22922977353746762</v>
      </c>
      <c r="AO26" s="20">
        <v>0.06</v>
      </c>
      <c r="AP26">
        <v>1.4200000000000003E-3</v>
      </c>
      <c r="AR26" s="31" t="s">
        <v>748</v>
      </c>
      <c r="AS26">
        <v>3.9355978852186602</v>
      </c>
      <c r="AT26">
        <v>3.8766982588744302E-2</v>
      </c>
      <c r="AU26">
        <v>9.1232147853328602E-2</v>
      </c>
      <c r="AV26">
        <v>5.4044449045920304E-4</v>
      </c>
      <c r="AX26" s="31" t="s">
        <v>886</v>
      </c>
      <c r="AY26">
        <v>3.2782687376538702</v>
      </c>
      <c r="AZ26">
        <v>4.74226124901947E-2</v>
      </c>
      <c r="BA26">
        <v>0.10526263195943</v>
      </c>
      <c r="BB26">
        <v>8.1747225918163099E-4</v>
      </c>
      <c r="BD26" s="31" t="s">
        <v>1035</v>
      </c>
      <c r="BE26">
        <v>3.3650248007749899</v>
      </c>
      <c r="BF26">
        <v>5.7031299853493998E-2</v>
      </c>
      <c r="BG26">
        <v>0.103535863889512</v>
      </c>
      <c r="BH26">
        <v>5.8517452454665605E-4</v>
      </c>
    </row>
    <row r="27" spans="1:60" x14ac:dyDescent="0.25">
      <c r="A27" s="9" t="s">
        <v>122</v>
      </c>
      <c r="B27" s="2">
        <v>6.0991430509150604</v>
      </c>
      <c r="C27" s="2">
        <v>0.23058630718449799</v>
      </c>
      <c r="D27" s="2">
        <v>7.1724960011550806E-2</v>
      </c>
      <c r="E27" s="2">
        <v>3.0227406953718199E-3</v>
      </c>
      <c r="F27" s="2"/>
      <c r="G27" s="9" t="s">
        <v>217</v>
      </c>
      <c r="H27" s="2">
        <v>5.51326697780034</v>
      </c>
      <c r="I27" s="2">
        <v>0.216950263607187</v>
      </c>
      <c r="J27" s="2">
        <v>7.5143466960098201E-2</v>
      </c>
      <c r="K27" s="2">
        <v>3.0940977783072798E-3</v>
      </c>
      <c r="L27" s="2"/>
      <c r="M27" s="9" t="s">
        <v>249</v>
      </c>
      <c r="N27" s="2">
        <v>4.5811870313084997</v>
      </c>
      <c r="O27" s="2">
        <v>0.176183071852998</v>
      </c>
      <c r="P27" s="2">
        <v>8.18148586919802E-2</v>
      </c>
      <c r="Q27" s="2">
        <v>6.0627401809856696E-3</v>
      </c>
      <c r="R27" s="2"/>
      <c r="S27" s="7" t="s">
        <v>36</v>
      </c>
      <c r="T27" s="8">
        <v>6.3275120222728418</v>
      </c>
      <c r="U27" s="4">
        <v>0.20258928646355717</v>
      </c>
      <c r="V27" s="4">
        <v>7.2300000000000003E-2</v>
      </c>
      <c r="W27" s="4">
        <v>2.64E-3</v>
      </c>
      <c r="X27" s="4">
        <v>0.66100000000000003</v>
      </c>
      <c r="Z27" s="23" t="s">
        <v>419</v>
      </c>
      <c r="AA27" s="17">
        <v>3.6929689693360999</v>
      </c>
      <c r="AB27" s="17">
        <v>0.119527225416366</v>
      </c>
      <c r="AC27" s="17">
        <v>0.101593895935159</v>
      </c>
      <c r="AD27" s="17">
        <v>6.8336076367586803E-4</v>
      </c>
      <c r="AF27" s="28" t="s">
        <v>538</v>
      </c>
      <c r="AG27" s="14">
        <f t="shared" si="0"/>
        <v>0.27078483688959187</v>
      </c>
      <c r="AH27" s="14">
        <f t="shared" si="1"/>
        <v>1.7528530841706337E-2</v>
      </c>
      <c r="AI27" s="14">
        <v>7.4480000000000005E-2</v>
      </c>
      <c r="AJ27" s="14">
        <f t="shared" si="2"/>
        <v>1.3667215273517361E-3</v>
      </c>
      <c r="AL27" s="29" t="s">
        <v>653</v>
      </c>
      <c r="AM27" s="19">
        <v>2.0195900232252852</v>
      </c>
      <c r="AN27">
        <v>4.0624288864634643E-2</v>
      </c>
      <c r="AO27" s="20">
        <v>0.18915000000000001</v>
      </c>
      <c r="AP27">
        <v>3.9599999999999991E-3</v>
      </c>
      <c r="AR27" s="31" t="s">
        <v>749</v>
      </c>
      <c r="AS27">
        <v>3.83821212614055</v>
      </c>
      <c r="AT27">
        <v>4.8563258486233302E-2</v>
      </c>
      <c r="AU27">
        <v>9.1228711214490998E-2</v>
      </c>
      <c r="AV27">
        <v>6.4505232719241803E-4</v>
      </c>
      <c r="AX27" s="31" t="s">
        <v>887</v>
      </c>
      <c r="AY27">
        <v>3.3045294808182799</v>
      </c>
      <c r="AZ27">
        <v>3.3678571531839903E-2</v>
      </c>
      <c r="BA27">
        <v>0.10459340670436899</v>
      </c>
      <c r="BB27">
        <v>5.9402099552694095E-4</v>
      </c>
      <c r="BD27" s="31" t="s">
        <v>1036</v>
      </c>
      <c r="BE27">
        <v>3.4283415876396801</v>
      </c>
      <c r="BF27">
        <v>3.5499245976710503E-2</v>
      </c>
      <c r="BG27">
        <v>0.103229566035862</v>
      </c>
      <c r="BH27">
        <v>3.8805525361144098E-4</v>
      </c>
    </row>
    <row r="28" spans="1:60" x14ac:dyDescent="0.25">
      <c r="A28" s="9" t="s">
        <v>123</v>
      </c>
      <c r="B28" s="2">
        <v>3.0280769908789198</v>
      </c>
      <c r="C28" s="2">
        <v>0.103937171764252</v>
      </c>
      <c r="D28" s="2">
        <v>0.10685488184855101</v>
      </c>
      <c r="E28" s="2">
        <v>3.3189023553711499E-3</v>
      </c>
      <c r="F28" s="2"/>
      <c r="G28" s="9" t="s">
        <v>218</v>
      </c>
      <c r="H28" s="2">
        <v>4.258802861315</v>
      </c>
      <c r="I28" s="2">
        <v>0.163814600902566</v>
      </c>
      <c r="J28" s="2">
        <v>8.9118648025291E-2</v>
      </c>
      <c r="K28" s="2">
        <v>4.1892418361841096E-3</v>
      </c>
      <c r="L28" s="2"/>
      <c r="M28" s="9" t="s">
        <v>250</v>
      </c>
      <c r="N28" s="2">
        <v>5.4658345152222401</v>
      </c>
      <c r="O28" s="2">
        <v>0.14999660448058599</v>
      </c>
      <c r="P28" s="2">
        <v>7.51678221432137E-2</v>
      </c>
      <c r="Q28" s="2">
        <v>4.0534948417231802E-3</v>
      </c>
      <c r="R28" s="2"/>
      <c r="S28" s="7" t="s">
        <v>37</v>
      </c>
      <c r="T28" s="8">
        <v>9.4858660595712383</v>
      </c>
      <c r="U28" s="4">
        <v>0.25914716611236172</v>
      </c>
      <c r="V28" s="4">
        <v>6.2260000000000003E-2</v>
      </c>
      <c r="W28" s="4">
        <v>1.58E-3</v>
      </c>
      <c r="X28" s="4">
        <v>0.73299999999999998</v>
      </c>
      <c r="Z28" s="23" t="s">
        <v>420</v>
      </c>
      <c r="AA28" s="17">
        <v>3.5746744618799502</v>
      </c>
      <c r="AB28" s="17">
        <v>0.149553039537657</v>
      </c>
      <c r="AC28" s="17">
        <v>0.10142908293073399</v>
      </c>
      <c r="AD28" s="17">
        <v>6.2272376158102399E-4</v>
      </c>
      <c r="AF28" s="28" t="s">
        <v>539</v>
      </c>
      <c r="AG28" s="14">
        <f t="shared" si="0"/>
        <v>0.27974575326058976</v>
      </c>
      <c r="AH28" s="14">
        <f t="shared" si="1"/>
        <v>2.3407349756749761E-2</v>
      </c>
      <c r="AI28" s="14">
        <v>7.4370000000000006E-2</v>
      </c>
      <c r="AJ28" s="14">
        <f t="shared" si="2"/>
        <v>1.245447523162048E-3</v>
      </c>
      <c r="AL28" s="29" t="s">
        <v>654</v>
      </c>
      <c r="AM28" s="19">
        <v>1.9640577432976529</v>
      </c>
      <c r="AN28">
        <v>3.9269582297496039E-2</v>
      </c>
      <c r="AO28" s="20">
        <v>0.18637000000000001</v>
      </c>
      <c r="AP28">
        <v>3.8400000000000005E-3</v>
      </c>
      <c r="AR28" s="31" t="s">
        <v>750</v>
      </c>
      <c r="AS28">
        <v>3.9918123860678301</v>
      </c>
      <c r="AT28">
        <v>5.7871522583335902E-2</v>
      </c>
      <c r="AU28">
        <v>9.1034066489770193E-2</v>
      </c>
      <c r="AV28">
        <v>4.3154636451058398E-4</v>
      </c>
      <c r="AX28" s="31" t="s">
        <v>888</v>
      </c>
      <c r="AY28">
        <v>3.2501252091451298</v>
      </c>
      <c r="AZ28">
        <v>8.4548478308764996E-2</v>
      </c>
      <c r="BA28">
        <v>0.10459475318158599</v>
      </c>
      <c r="BB28">
        <v>1.2587348834025599E-3</v>
      </c>
      <c r="BD28" s="31" t="s">
        <v>1037</v>
      </c>
      <c r="BE28">
        <v>3.2890679193910399</v>
      </c>
      <c r="BF28">
        <v>5.3766494675614299E-2</v>
      </c>
      <c r="BG28">
        <v>0.103244843823991</v>
      </c>
      <c r="BH28">
        <v>4.9266136050559698E-4</v>
      </c>
    </row>
    <row r="29" spans="1:60" x14ac:dyDescent="0.25">
      <c r="A29" s="9" t="s">
        <v>124</v>
      </c>
      <c r="B29" s="2">
        <v>4.2618751737741096</v>
      </c>
      <c r="C29" s="2">
        <v>0.13161466563410901</v>
      </c>
      <c r="D29" s="2">
        <v>8.5944067311559194E-2</v>
      </c>
      <c r="E29" s="2">
        <v>3.3547740087938199E-3</v>
      </c>
      <c r="F29" s="2"/>
      <c r="G29" s="9" t="s">
        <v>219</v>
      </c>
      <c r="H29" s="2">
        <v>2.98579359827183</v>
      </c>
      <c r="I29" s="2">
        <v>0.11206532317298</v>
      </c>
      <c r="J29" s="2">
        <v>0.113489152970656</v>
      </c>
      <c r="K29" s="2">
        <v>4.8105187541921703E-3</v>
      </c>
      <c r="L29" s="2"/>
      <c r="M29" s="9" t="s">
        <v>251</v>
      </c>
      <c r="N29" s="2">
        <v>4.9509930085759404</v>
      </c>
      <c r="O29" s="2">
        <v>0.12820760376791501</v>
      </c>
      <c r="P29" s="2">
        <v>7.9566901058089903E-2</v>
      </c>
      <c r="Q29" s="2">
        <v>3.5188199502921001E-3</v>
      </c>
      <c r="R29" s="2"/>
      <c r="S29" s="7" t="s">
        <v>38</v>
      </c>
      <c r="T29" s="8">
        <v>10.280662074637608</v>
      </c>
      <c r="U29" s="4">
        <v>0.35935284315583288</v>
      </c>
      <c r="V29" s="4">
        <v>5.8650000000000001E-2</v>
      </c>
      <c r="W29" s="4">
        <v>1.3799999999999999E-3</v>
      </c>
      <c r="X29" s="4">
        <v>0.83</v>
      </c>
      <c r="Z29" s="23" t="s">
        <v>421</v>
      </c>
      <c r="AA29" s="17">
        <v>3.8180646612719902</v>
      </c>
      <c r="AB29" s="17">
        <v>0.11569815511089999</v>
      </c>
      <c r="AC29" s="17">
        <v>0.100468108318059</v>
      </c>
      <c r="AD29" s="17">
        <v>2.8561623843637002E-4</v>
      </c>
      <c r="AF29" s="28" t="s">
        <v>540</v>
      </c>
      <c r="AG29" s="14">
        <f t="shared" si="0"/>
        <v>0.26191279842464726</v>
      </c>
      <c r="AH29" s="14">
        <f t="shared" si="1"/>
        <v>1.587339674209149E-2</v>
      </c>
      <c r="AI29" s="14">
        <v>7.4010000000000006E-2</v>
      </c>
      <c r="AJ29" s="14">
        <f t="shared" si="2"/>
        <v>5.7123247687274005E-4</v>
      </c>
      <c r="AL29" s="29" t="s">
        <v>655</v>
      </c>
      <c r="AM29" s="19">
        <v>3.1852205765249244</v>
      </c>
      <c r="AN29">
        <v>6.4120382365464329E-2</v>
      </c>
      <c r="AO29" s="20">
        <v>0.1106</v>
      </c>
      <c r="AP29">
        <v>2.3800000000000002E-3</v>
      </c>
      <c r="AR29" s="31" t="s">
        <v>751</v>
      </c>
      <c r="AS29">
        <v>3.9332576999408002</v>
      </c>
      <c r="AT29">
        <v>5.88427210195464E-2</v>
      </c>
      <c r="AU29">
        <v>9.0991345227711601E-2</v>
      </c>
      <c r="AV29">
        <v>4.45084586023814E-4</v>
      </c>
      <c r="AX29" s="31" t="s">
        <v>889</v>
      </c>
      <c r="AY29">
        <v>3.29698786217436</v>
      </c>
      <c r="AZ29">
        <v>3.2012630149051403E-2</v>
      </c>
      <c r="BA29">
        <v>0.103842276329281</v>
      </c>
      <c r="BB29">
        <v>6.2107542913066699E-4</v>
      </c>
      <c r="BD29" s="31" t="s">
        <v>1038</v>
      </c>
      <c r="BE29">
        <v>3.3790026570693699</v>
      </c>
      <c r="BF29">
        <v>4.4245516727580897E-2</v>
      </c>
      <c r="BG29">
        <v>0.103044623468668</v>
      </c>
      <c r="BH29">
        <v>6.4477866995133902E-4</v>
      </c>
    </row>
    <row r="30" spans="1:60" x14ac:dyDescent="0.25">
      <c r="A30" s="9" t="s">
        <v>125</v>
      </c>
      <c r="B30" s="2">
        <v>1.75963197288784</v>
      </c>
      <c r="C30" s="2">
        <v>6.14707319054437E-2</v>
      </c>
      <c r="D30" s="2">
        <v>0.19760257686312399</v>
      </c>
      <c r="E30" s="2">
        <v>5.7319289256339799E-3</v>
      </c>
      <c r="F30" s="2"/>
      <c r="G30" s="9" t="s">
        <v>220</v>
      </c>
      <c r="H30" s="2">
        <v>4.2390229398703401</v>
      </c>
      <c r="I30" s="2">
        <v>0.16431194808823499</v>
      </c>
      <c r="J30" s="2">
        <v>8.7311580926406701E-2</v>
      </c>
      <c r="K30" s="2">
        <v>3.8967316852655202E-3</v>
      </c>
      <c r="L30" s="2"/>
      <c r="M30" s="9" t="s">
        <v>252</v>
      </c>
      <c r="N30" s="2">
        <v>5.7147311945146404</v>
      </c>
      <c r="O30" s="2">
        <v>0.15778000344429799</v>
      </c>
      <c r="P30" s="2">
        <v>7.3269713754018306E-2</v>
      </c>
      <c r="Q30" s="2">
        <v>2.99770608252071E-3</v>
      </c>
      <c r="R30" s="2"/>
      <c r="S30" s="7" t="s">
        <v>39</v>
      </c>
      <c r="T30" s="8">
        <v>10.388531061707875</v>
      </c>
      <c r="U30" s="4">
        <v>0.23311060765934979</v>
      </c>
      <c r="V30" s="4">
        <v>6.0879999999999997E-2</v>
      </c>
      <c r="W30" s="4">
        <v>1.42E-3</v>
      </c>
      <c r="X30" s="4">
        <v>0.69299999999999995</v>
      </c>
      <c r="Z30" s="23" t="s">
        <v>422</v>
      </c>
      <c r="AA30" s="17">
        <v>3.5712651870143399</v>
      </c>
      <c r="AB30" s="17">
        <v>0.13586707319314201</v>
      </c>
      <c r="AC30" s="17">
        <v>9.9344792271461299E-2</v>
      </c>
      <c r="AD30" s="17">
        <v>3.5950703224262303E-4</v>
      </c>
      <c r="AF30" s="28" t="s">
        <v>541</v>
      </c>
      <c r="AG30" s="14">
        <f t="shared" si="0"/>
        <v>0.28001280992409949</v>
      </c>
      <c r="AH30" s="14">
        <f t="shared" si="1"/>
        <v>2.1305906421797305E-2</v>
      </c>
      <c r="AI30" s="14">
        <v>7.2830000000000006E-2</v>
      </c>
      <c r="AJ30" s="14">
        <f t="shared" si="2"/>
        <v>7.1901406448524605E-4</v>
      </c>
      <c r="AL30" s="29" t="s">
        <v>656</v>
      </c>
      <c r="AM30" s="19">
        <v>3.1989763275751759</v>
      </c>
      <c r="AN30">
        <v>6.4061394147858608E-2</v>
      </c>
      <c r="AO30" s="20">
        <v>0.11007</v>
      </c>
      <c r="AP30">
        <v>2.3600000000000001E-3</v>
      </c>
      <c r="AR30" s="31" t="s">
        <v>752</v>
      </c>
      <c r="AS30">
        <v>4.3427368656790604</v>
      </c>
      <c r="AT30">
        <v>3.9222439929387697E-2</v>
      </c>
      <c r="AU30">
        <v>9.0749128161666998E-2</v>
      </c>
      <c r="AV30">
        <v>5.2670373733448698E-4</v>
      </c>
      <c r="AX30" s="31" t="s">
        <v>890</v>
      </c>
      <c r="AY30">
        <v>3.4086736626894099</v>
      </c>
      <c r="AZ30">
        <v>2.7026606689847899E-2</v>
      </c>
      <c r="BA30">
        <v>0.103357130196247</v>
      </c>
      <c r="BB30">
        <v>8.5842067310846104E-4</v>
      </c>
      <c r="BD30" s="31" t="s">
        <v>1039</v>
      </c>
      <c r="BE30">
        <v>3.4014806983502401</v>
      </c>
      <c r="BF30">
        <v>5.2698367014150198E-2</v>
      </c>
      <c r="BG30">
        <v>0.103007452214627</v>
      </c>
      <c r="BH30">
        <v>3.6909944192374999E-4</v>
      </c>
    </row>
    <row r="31" spans="1:60" x14ac:dyDescent="0.25">
      <c r="A31" s="9" t="s">
        <v>126</v>
      </c>
      <c r="B31" s="2">
        <v>4.4781661268073201</v>
      </c>
      <c r="C31" s="2">
        <v>0.19113876451102799</v>
      </c>
      <c r="D31" s="2">
        <v>8.2900764377334096E-2</v>
      </c>
      <c r="E31" s="2">
        <v>4.1685143695916003E-3</v>
      </c>
      <c r="F31" s="2"/>
      <c r="G31" s="9" t="s">
        <v>221</v>
      </c>
      <c r="H31" s="2">
        <v>3.90586100887925</v>
      </c>
      <c r="I31" s="2">
        <v>0.155194877559336</v>
      </c>
      <c r="J31" s="2">
        <v>9.3153744898994695E-2</v>
      </c>
      <c r="K31" s="2">
        <v>4.27659498054812E-3</v>
      </c>
      <c r="L31" s="2"/>
      <c r="M31" s="9" t="s">
        <v>253</v>
      </c>
      <c r="N31" s="2">
        <v>3.5826268839673499</v>
      </c>
      <c r="O31" s="2">
        <v>0.113670487568988</v>
      </c>
      <c r="P31" s="2">
        <v>9.7405090050747295E-2</v>
      </c>
      <c r="Q31" s="2">
        <v>6.1932293317052602E-3</v>
      </c>
      <c r="R31" s="2"/>
      <c r="S31" s="7" t="s">
        <v>40</v>
      </c>
      <c r="T31" s="8">
        <v>11.074197120708748</v>
      </c>
      <c r="U31" s="4">
        <v>0.31885838885761619</v>
      </c>
      <c r="V31" s="4">
        <v>5.9979999999999999E-2</v>
      </c>
      <c r="W31" s="4">
        <v>1.5399999999999999E-3</v>
      </c>
      <c r="X31" s="4">
        <v>0.747</v>
      </c>
      <c r="Z31" s="23" t="s">
        <v>423</v>
      </c>
      <c r="AA31" s="17">
        <v>3.48182615905153</v>
      </c>
      <c r="AB31" s="17">
        <v>6.0694649362147003E-2</v>
      </c>
      <c r="AC31" s="17">
        <v>9.9204193634532797E-2</v>
      </c>
      <c r="AD31" s="17">
        <v>3.3558142476606401E-4</v>
      </c>
      <c r="AF31" s="28" t="s">
        <v>542</v>
      </c>
      <c r="AG31" s="14">
        <f t="shared" si="0"/>
        <v>0.28720560829849295</v>
      </c>
      <c r="AH31" s="14">
        <f t="shared" si="1"/>
        <v>1.0013046541799608E-2</v>
      </c>
      <c r="AI31" s="14">
        <v>7.1800000000000003E-2</v>
      </c>
      <c r="AJ31" s="14">
        <f t="shared" si="2"/>
        <v>6.7116284953212802E-4</v>
      </c>
      <c r="AL31" s="29" t="s">
        <v>657</v>
      </c>
      <c r="AM31" s="19">
        <v>3.1363693388533433</v>
      </c>
      <c r="AN31">
        <v>6.2168655819699943E-2</v>
      </c>
      <c r="AO31" s="20">
        <v>0.10996</v>
      </c>
      <c r="AP31">
        <v>2.3600000000000001E-3</v>
      </c>
      <c r="AR31" s="31" t="s">
        <v>753</v>
      </c>
      <c r="AS31">
        <v>4.0242839549270197</v>
      </c>
      <c r="AT31">
        <v>3.6007796280680897E-2</v>
      </c>
      <c r="AU31">
        <v>9.0524464880617994E-2</v>
      </c>
      <c r="AV31">
        <v>5.3091906261918103E-4</v>
      </c>
      <c r="AX31" s="31" t="s">
        <v>891</v>
      </c>
      <c r="AY31">
        <v>3.4478827823861802</v>
      </c>
      <c r="AZ31">
        <v>3.77392211055603E-2</v>
      </c>
      <c r="BA31">
        <v>0.103043897795319</v>
      </c>
      <c r="BB31">
        <v>9.8062906838176098E-4</v>
      </c>
      <c r="BD31" s="31" t="s">
        <v>1040</v>
      </c>
      <c r="BE31">
        <v>3.4883021534357401</v>
      </c>
      <c r="BF31">
        <v>5.7318388055792098E-2</v>
      </c>
      <c r="BG31">
        <v>0.102886994727331</v>
      </c>
      <c r="BH31">
        <v>3.58587778962622E-4</v>
      </c>
    </row>
    <row r="32" spans="1:60" x14ac:dyDescent="0.25">
      <c r="A32" s="9" t="s">
        <v>127</v>
      </c>
      <c r="B32" s="2">
        <v>5.7811423352320404</v>
      </c>
      <c r="C32" s="2">
        <v>0.16903010005986599</v>
      </c>
      <c r="D32" s="2">
        <v>7.3026976097462101E-2</v>
      </c>
      <c r="E32" s="2">
        <v>2.0989533098497502E-3</v>
      </c>
      <c r="F32" s="2"/>
      <c r="G32" s="9" t="s">
        <v>222</v>
      </c>
      <c r="H32" s="2">
        <v>3.0032055614386599</v>
      </c>
      <c r="I32" s="2">
        <v>0.18129658949614599</v>
      </c>
      <c r="J32" s="2">
        <v>0.123883367593094</v>
      </c>
      <c r="K32" s="2">
        <v>9.3785919263958892E-3</v>
      </c>
      <c r="L32" s="2"/>
      <c r="M32" s="9" t="s">
        <v>254</v>
      </c>
      <c r="N32" s="2">
        <v>3.0495872953424401</v>
      </c>
      <c r="O32" s="2">
        <v>8.4251746683314796E-2</v>
      </c>
      <c r="P32" s="2">
        <v>0.109343354210178</v>
      </c>
      <c r="Q32" s="2">
        <v>4.2443800330964898E-3</v>
      </c>
      <c r="R32" s="2"/>
      <c r="S32" s="7" t="s">
        <v>41</v>
      </c>
      <c r="T32" s="8">
        <v>11.123470522803116</v>
      </c>
      <c r="U32" s="4">
        <v>0.30685435924974114</v>
      </c>
      <c r="V32" s="4">
        <v>5.9639999999999999E-2</v>
      </c>
      <c r="W32" s="4">
        <v>2.3400000000000001E-3</v>
      </c>
      <c r="X32" s="4">
        <v>0.57699999999999996</v>
      </c>
      <c r="Z32" s="23" t="s">
        <v>424</v>
      </c>
      <c r="AA32" s="17">
        <v>3.7946941145542201</v>
      </c>
      <c r="AB32" s="17">
        <v>0.116579727903665</v>
      </c>
      <c r="AC32" s="17">
        <v>9.8968756217761897E-2</v>
      </c>
      <c r="AD32" s="17">
        <v>3.8997197547048197E-4</v>
      </c>
      <c r="AF32" s="28" t="s">
        <v>543</v>
      </c>
      <c r="AG32" s="14">
        <f t="shared" si="0"/>
        <v>0.26352585210085488</v>
      </c>
      <c r="AH32" s="14">
        <f t="shared" si="1"/>
        <v>1.6191962359057316E-2</v>
      </c>
      <c r="AI32" s="14">
        <v>7.1400000000000005E-2</v>
      </c>
      <c r="AJ32" s="14">
        <f t="shared" si="2"/>
        <v>7.7994395094096395E-4</v>
      </c>
      <c r="AL32" s="29" t="s">
        <v>658</v>
      </c>
      <c r="AM32" s="19">
        <v>3.561760934606069</v>
      </c>
      <c r="AN32">
        <v>7.1296112168706752E-2</v>
      </c>
      <c r="AO32" s="20">
        <v>0.10183</v>
      </c>
      <c r="AP32">
        <v>2.1799999999999996E-3</v>
      </c>
      <c r="AR32" s="31" t="s">
        <v>754</v>
      </c>
      <c r="AS32">
        <v>4.4013297781381899</v>
      </c>
      <c r="AT32">
        <v>4.48635713549825E-2</v>
      </c>
      <c r="AU32">
        <v>8.8805897092035097E-2</v>
      </c>
      <c r="AV32">
        <v>4.1101231213681698E-4</v>
      </c>
      <c r="AX32" s="31" t="s">
        <v>892</v>
      </c>
      <c r="AY32">
        <v>3.44311094404845</v>
      </c>
      <c r="AZ32">
        <v>3.8614527161560303E-2</v>
      </c>
      <c r="BA32">
        <v>0.102935319599818</v>
      </c>
      <c r="BB32">
        <v>6.2988765102143401E-4</v>
      </c>
      <c r="BD32" s="31" t="s">
        <v>1041</v>
      </c>
      <c r="BE32">
        <v>3.4832986213369601</v>
      </c>
      <c r="BF32">
        <v>5.5615046396037898E-2</v>
      </c>
      <c r="BG32">
        <v>0.102780234689198</v>
      </c>
      <c r="BH32">
        <v>3.9801646332384701E-4</v>
      </c>
    </row>
    <row r="33" spans="1:60" x14ac:dyDescent="0.25">
      <c r="A33" s="9" t="s">
        <v>128</v>
      </c>
      <c r="B33" s="2">
        <v>5.0320278132608198</v>
      </c>
      <c r="C33" s="2">
        <v>0.17598076847907099</v>
      </c>
      <c r="D33" s="2">
        <v>7.8500582576847194E-2</v>
      </c>
      <c r="E33" s="2">
        <v>3.0180227307908501E-3</v>
      </c>
      <c r="F33" s="2"/>
      <c r="G33" s="9" t="s">
        <v>223</v>
      </c>
      <c r="H33" s="2">
        <v>6.8245459184076296</v>
      </c>
      <c r="I33" s="2">
        <v>0.31894966155250598</v>
      </c>
      <c r="J33" s="2">
        <v>7.1197725848233598E-2</v>
      </c>
      <c r="K33" s="2">
        <v>6.0752612194499202E-3</v>
      </c>
      <c r="L33" s="2"/>
      <c r="M33" s="9" t="s">
        <v>255</v>
      </c>
      <c r="N33" s="2">
        <v>3.88797853231751</v>
      </c>
      <c r="O33" s="2">
        <v>9.4262092979081696E-2</v>
      </c>
      <c r="P33" s="2">
        <v>8.9615627961862995E-2</v>
      </c>
      <c r="Q33" s="2">
        <v>3.6865100837442798E-3</v>
      </c>
      <c r="R33" s="2"/>
      <c r="S33" s="7" t="s">
        <v>42</v>
      </c>
      <c r="T33" s="8">
        <v>12.125621438098703</v>
      </c>
      <c r="U33" s="4">
        <v>0.28818016270975449</v>
      </c>
      <c r="V33" s="4">
        <v>5.8349999999999999E-2</v>
      </c>
      <c r="W33" s="4">
        <v>1.5399999999999999E-3</v>
      </c>
      <c r="X33" s="4">
        <v>0.66800000000000004</v>
      </c>
      <c r="Z33" s="23" t="s">
        <v>425</v>
      </c>
      <c r="AA33" s="17">
        <v>3.6321575727478401</v>
      </c>
      <c r="AB33" s="17">
        <v>0.13733689732158399</v>
      </c>
      <c r="AC33" s="17">
        <v>9.8075971936044906E-2</v>
      </c>
      <c r="AD33" s="17">
        <v>3.11411927384118E-4</v>
      </c>
      <c r="AF33" s="28" t="s">
        <v>544</v>
      </c>
      <c r="AG33" s="14">
        <f>1/AA33</f>
        <v>0.27531845190391036</v>
      </c>
      <c r="AH33" s="14">
        <f>2*(AB33/(AA33^2))</f>
        <v>2.082034229107484E-2</v>
      </c>
      <c r="AI33" s="14">
        <v>0.11695</v>
      </c>
      <c r="AJ33" s="14">
        <f>AD33*2</f>
        <v>6.2282385476823601E-4</v>
      </c>
      <c r="AL33" s="29" t="s">
        <v>659</v>
      </c>
      <c r="AM33" s="19">
        <v>3.4326513799258547</v>
      </c>
      <c r="AN33">
        <v>6.834195387741987E-2</v>
      </c>
      <c r="AO33" s="20">
        <v>0.10063999999999999</v>
      </c>
      <c r="AP33">
        <v>2.0799999999999998E-3</v>
      </c>
      <c r="AR33" s="31" t="s">
        <v>755</v>
      </c>
      <c r="AS33">
        <v>4.2379948682263704</v>
      </c>
      <c r="AT33">
        <v>6.7304004234094605E-2</v>
      </c>
      <c r="AU33">
        <v>8.5894230031215699E-2</v>
      </c>
      <c r="AV33">
        <v>6.4314612705062505E-4</v>
      </c>
      <c r="AX33" s="31" t="s">
        <v>893</v>
      </c>
      <c r="AY33">
        <v>3.4275846390043898</v>
      </c>
      <c r="AZ33">
        <v>2.8654379704063301E-2</v>
      </c>
      <c r="BA33">
        <v>0.102553128713317</v>
      </c>
      <c r="BB33">
        <v>8.7460585934992703E-4</v>
      </c>
      <c r="BD33" s="31" t="s">
        <v>1042</v>
      </c>
      <c r="BE33">
        <v>3.3999386325687402</v>
      </c>
      <c r="BF33">
        <v>6.70484739450114E-2</v>
      </c>
      <c r="BG33">
        <v>0.10250445438181401</v>
      </c>
      <c r="BH33">
        <v>7.1032455981596596E-4</v>
      </c>
    </row>
    <row r="34" spans="1:60" x14ac:dyDescent="0.25">
      <c r="A34" s="9" t="s">
        <v>129</v>
      </c>
      <c r="B34" s="2">
        <v>2.99438650277623</v>
      </c>
      <c r="C34" s="2">
        <v>0.119687273343249</v>
      </c>
      <c r="D34" s="2">
        <v>0.110501004259608</v>
      </c>
      <c r="E34" s="2">
        <v>4.3150197556537997E-3</v>
      </c>
      <c r="F34" s="2"/>
      <c r="G34" s="9" t="s">
        <v>224</v>
      </c>
      <c r="H34" s="2">
        <v>6.2381420846742701</v>
      </c>
      <c r="I34" s="2">
        <v>0.32799307897059699</v>
      </c>
      <c r="J34" s="2">
        <v>7.5621689705884398E-2</v>
      </c>
      <c r="K34" s="2">
        <v>5.2103592790705196E-3</v>
      </c>
      <c r="L34" s="2"/>
      <c r="M34" s="9" t="s">
        <v>256</v>
      </c>
      <c r="N34" s="2">
        <v>3.4718488803477898</v>
      </c>
      <c r="O34" s="2">
        <v>0.10256738868378</v>
      </c>
      <c r="P34" s="2">
        <v>9.78411293903695E-2</v>
      </c>
      <c r="Q34" s="2">
        <v>4.7636140037271403E-3</v>
      </c>
      <c r="R34" s="2"/>
      <c r="S34" s="7" t="s">
        <v>43</v>
      </c>
      <c r="T34" s="8">
        <v>3.1390275292714316</v>
      </c>
      <c r="U34" s="4">
        <v>0.12119797410314406</v>
      </c>
      <c r="V34" s="4">
        <v>0.11217000000000001</v>
      </c>
      <c r="W34" s="4">
        <v>3.0000000000000001E-3</v>
      </c>
      <c r="X34" s="4">
        <v>0.82199999999999995</v>
      </c>
      <c r="Z34" s="23" t="s">
        <v>426</v>
      </c>
      <c r="AA34" s="17">
        <v>3.8497410651558002</v>
      </c>
      <c r="AB34" s="17">
        <v>6.6414919671836395E-2</v>
      </c>
      <c r="AC34" s="17">
        <v>9.4884438581662706E-2</v>
      </c>
      <c r="AD34" s="17">
        <v>1.9313392159493601E-4</v>
      </c>
      <c r="AF34" s="28" t="s">
        <v>545</v>
      </c>
      <c r="AG34" s="14">
        <f t="shared" ref="AG34:AG71" si="3">1/AA34</f>
        <v>0.25975772995515212</v>
      </c>
      <c r="AH34" s="14">
        <f t="shared" ref="AH34:AH71" si="4">2*(AB34/(AA34^2))</f>
        <v>8.9625709766596017E-3</v>
      </c>
      <c r="AI34" s="14">
        <v>0.11329</v>
      </c>
      <c r="AJ34" s="14">
        <f t="shared" ref="AJ34:AJ71" si="5">AD34*2</f>
        <v>3.8626784318987202E-4</v>
      </c>
      <c r="AL34" s="29" t="s">
        <v>660</v>
      </c>
      <c r="AM34" s="19">
        <v>3.6269993834101046</v>
      </c>
      <c r="AN34">
        <v>7.2353184899915032E-2</v>
      </c>
      <c r="AO34" s="20">
        <v>9.962E-2</v>
      </c>
      <c r="AP34">
        <v>2.0800000000000003E-3</v>
      </c>
      <c r="AR34" s="31" t="s">
        <v>756</v>
      </c>
      <c r="AS34">
        <v>4.3986318949075596</v>
      </c>
      <c r="AT34">
        <v>8.0684059821226506E-2</v>
      </c>
      <c r="AU34">
        <v>8.53274348623103E-2</v>
      </c>
      <c r="AV34">
        <v>8.2569836118063903E-4</v>
      </c>
      <c r="AX34" s="31" t="s">
        <v>894</v>
      </c>
      <c r="AY34">
        <v>3.5344283570675898</v>
      </c>
      <c r="AZ34">
        <v>3.8118070484204299E-2</v>
      </c>
      <c r="BA34">
        <v>0.102418445507657</v>
      </c>
      <c r="BB34">
        <v>6.5216729562961296E-4</v>
      </c>
      <c r="BD34" s="31" t="s">
        <v>1043</v>
      </c>
      <c r="BE34">
        <v>3.3457068741131</v>
      </c>
      <c r="BF34">
        <v>6.8316196554584901E-2</v>
      </c>
      <c r="BG34">
        <v>0.102410040930613</v>
      </c>
      <c r="BH34">
        <v>7.5889576311556303E-4</v>
      </c>
    </row>
    <row r="35" spans="1:60" x14ac:dyDescent="0.25">
      <c r="A35" s="9" t="s">
        <v>130</v>
      </c>
      <c r="B35" s="2">
        <v>5.5548379776036301</v>
      </c>
      <c r="C35" s="2">
        <v>0.17422265760310801</v>
      </c>
      <c r="D35" s="2">
        <v>7.3291007534210695E-2</v>
      </c>
      <c r="E35" s="2">
        <v>2.16546402946761E-3</v>
      </c>
      <c r="F35" s="2"/>
      <c r="G35" s="11" t="s">
        <v>342</v>
      </c>
      <c r="H35" s="12">
        <v>6.2046134129432202</v>
      </c>
      <c r="I35" s="12">
        <v>0.19196966590527501</v>
      </c>
      <c r="J35" s="12">
        <v>7.06722362434066E-2</v>
      </c>
      <c r="K35" s="12">
        <v>3.97904200668009E-3</v>
      </c>
      <c r="M35" s="9" t="s">
        <v>257</v>
      </c>
      <c r="N35" s="2">
        <v>3.32400221911</v>
      </c>
      <c r="O35" s="2">
        <v>8.4566916016829793E-2</v>
      </c>
      <c r="P35" s="2">
        <v>0.101299676741597</v>
      </c>
      <c r="Q35" s="2">
        <v>4.1126508819605096E-3</v>
      </c>
      <c r="R35" s="2"/>
      <c r="S35" s="7" t="s">
        <v>44</v>
      </c>
      <c r="T35" s="8">
        <v>3.2306002455256189</v>
      </c>
      <c r="U35" s="4">
        <v>0.10081927496212922</v>
      </c>
      <c r="V35" s="4">
        <v>0.11035</v>
      </c>
      <c r="W35" s="4">
        <v>2.8E-3</v>
      </c>
      <c r="X35" s="4">
        <v>0.77600000000000002</v>
      </c>
      <c r="Z35" s="23" t="s">
        <v>427</v>
      </c>
      <c r="AA35" s="17">
        <v>3.7403511211509</v>
      </c>
      <c r="AB35" s="17">
        <v>0.14335194652980901</v>
      </c>
      <c r="AC35" s="17">
        <v>9.48636086013014E-2</v>
      </c>
      <c r="AD35" s="17">
        <v>2.1943164950510399E-4</v>
      </c>
      <c r="AF35" s="28" t="s">
        <v>546</v>
      </c>
      <c r="AG35" s="14">
        <f t="shared" si="3"/>
        <v>0.26735457918514921</v>
      </c>
      <c r="AH35" s="14">
        <f t="shared" si="4"/>
        <v>2.0493155908879655E-2</v>
      </c>
      <c r="AI35" s="14">
        <v>0.10208</v>
      </c>
      <c r="AJ35" s="14">
        <f t="shared" si="5"/>
        <v>4.3886329901020798E-4</v>
      </c>
      <c r="AL35" s="29" t="s">
        <v>661</v>
      </c>
      <c r="AM35" s="19">
        <v>3.525720128336213</v>
      </c>
      <c r="AN35">
        <v>7.010916166772288E-2</v>
      </c>
      <c r="AO35" s="20">
        <v>9.8780000000000007E-2</v>
      </c>
      <c r="AP35">
        <v>2.14E-3</v>
      </c>
      <c r="AR35" s="31" t="s">
        <v>757</v>
      </c>
      <c r="AS35">
        <v>4.9499070005463404</v>
      </c>
      <c r="AT35">
        <v>0.119121592687522</v>
      </c>
      <c r="AU35">
        <v>8.5120438668221596E-2</v>
      </c>
      <c r="AV35">
        <v>9.5618038788137301E-4</v>
      </c>
      <c r="AX35" s="31" t="s">
        <v>895</v>
      </c>
      <c r="AY35">
        <v>3.5626563519110399</v>
      </c>
      <c r="AZ35">
        <v>6.1097779616665598E-2</v>
      </c>
      <c r="BA35">
        <v>0.101387886915713</v>
      </c>
      <c r="BB35">
        <v>1.0971267601302299E-3</v>
      </c>
      <c r="BD35" s="31" t="s">
        <v>1044</v>
      </c>
      <c r="BE35">
        <v>3.3939579243312199</v>
      </c>
      <c r="BF35">
        <v>6.7058249615499596E-2</v>
      </c>
      <c r="BG35">
        <v>0.101884228831118</v>
      </c>
      <c r="BH35">
        <v>5.2984952102138997E-4</v>
      </c>
    </row>
    <row r="36" spans="1:60" x14ac:dyDescent="0.25">
      <c r="A36" s="9" t="s">
        <v>131</v>
      </c>
      <c r="B36" s="2">
        <v>6.0949408339830002</v>
      </c>
      <c r="C36" s="2">
        <v>0.21086901107697301</v>
      </c>
      <c r="D36" s="2">
        <v>7.2744958392056205E-2</v>
      </c>
      <c r="E36" s="2">
        <v>3.09750913431112E-3</v>
      </c>
      <c r="F36" s="2"/>
      <c r="G36" s="11" t="s">
        <v>343</v>
      </c>
      <c r="H36" s="12">
        <v>6.2056815641781098</v>
      </c>
      <c r="I36" s="12">
        <v>0.22106556735482699</v>
      </c>
      <c r="J36" s="12">
        <v>6.9333159251870405E-2</v>
      </c>
      <c r="K36" s="12">
        <v>4.02026837989571E-3</v>
      </c>
      <c r="M36" s="9" t="s">
        <v>258</v>
      </c>
      <c r="N36" s="2">
        <v>3.2974261563233598</v>
      </c>
      <c r="O36" s="2">
        <v>9.2959085640358999E-2</v>
      </c>
      <c r="P36" s="2">
        <v>0.104292755105867</v>
      </c>
      <c r="Q36" s="2">
        <v>5.0288336286780496E-3</v>
      </c>
      <c r="R36" s="2"/>
      <c r="S36" s="7" t="s">
        <v>45</v>
      </c>
      <c r="T36" s="8">
        <v>3.2339434706681329</v>
      </c>
      <c r="U36" s="4">
        <v>0.1087672598633613</v>
      </c>
      <c r="V36" s="4">
        <v>0.10878</v>
      </c>
      <c r="W36" s="4">
        <v>3.0599999999999998E-3</v>
      </c>
      <c r="X36" s="4">
        <v>0.76700000000000002</v>
      </c>
      <c r="Z36" s="23" t="s">
        <v>428</v>
      </c>
      <c r="AA36" s="17">
        <v>3.9990815284964101</v>
      </c>
      <c r="AB36" s="17">
        <v>0.152361220803683</v>
      </c>
      <c r="AC36" s="17">
        <v>9.4456313242038001E-2</v>
      </c>
      <c r="AD36" s="17">
        <v>2.9632676724519801E-4</v>
      </c>
      <c r="AF36" s="28" t="s">
        <v>547</v>
      </c>
      <c r="AG36" s="14">
        <f t="shared" si="3"/>
        <v>0.25005741765309392</v>
      </c>
      <c r="AH36" s="14">
        <f t="shared" si="4"/>
        <v>1.9053901828786395E-2</v>
      </c>
      <c r="AI36" s="14">
        <v>9.8839999999999997E-2</v>
      </c>
      <c r="AJ36" s="14">
        <f t="shared" si="5"/>
        <v>5.9265353449039601E-4</v>
      </c>
      <c r="AL36" s="29" t="s">
        <v>662</v>
      </c>
      <c r="AM36" s="19">
        <v>3.6972677191555441</v>
      </c>
      <c r="AN36">
        <v>7.2996671055165482E-2</v>
      </c>
      <c r="AO36" s="20">
        <v>9.7000000000000003E-2</v>
      </c>
      <c r="AP36">
        <v>2.0200000000000001E-3</v>
      </c>
      <c r="AR36" s="31" t="s">
        <v>758</v>
      </c>
      <c r="AS36">
        <v>4.4862826177735498</v>
      </c>
      <c r="AT36">
        <v>6.9810384514121707E-2</v>
      </c>
      <c r="AU36">
        <v>8.3612760408508499E-2</v>
      </c>
      <c r="AV36">
        <v>4.12748644871207E-4</v>
      </c>
      <c r="AX36" s="31" t="s">
        <v>896</v>
      </c>
      <c r="AY36">
        <v>3.3454557780524299</v>
      </c>
      <c r="AZ36">
        <v>4.2560652908502097E-2</v>
      </c>
      <c r="BA36">
        <v>0.10120835413007501</v>
      </c>
      <c r="BB36">
        <v>7.1772225864284202E-4</v>
      </c>
      <c r="BD36" s="31" t="s">
        <v>1045</v>
      </c>
      <c r="BE36">
        <v>3.3843361695812102</v>
      </c>
      <c r="BF36">
        <v>5.9592050941847802E-2</v>
      </c>
      <c r="BG36">
        <v>0.101725183937685</v>
      </c>
      <c r="BH36">
        <v>5.0509737118757496E-4</v>
      </c>
    </row>
    <row r="37" spans="1:60" x14ac:dyDescent="0.25">
      <c r="A37" s="9" t="s">
        <v>132</v>
      </c>
      <c r="B37" s="2">
        <v>4.63494267057622</v>
      </c>
      <c r="C37" s="2">
        <v>0.15588645552574401</v>
      </c>
      <c r="D37" s="2">
        <v>8.1446584524328999E-2</v>
      </c>
      <c r="E37" s="2">
        <v>2.8059606088504602E-3</v>
      </c>
      <c r="F37" s="2"/>
      <c r="G37" s="11" t="s">
        <v>344</v>
      </c>
      <c r="H37" s="12">
        <v>5.4534851672991698</v>
      </c>
      <c r="I37" s="12">
        <v>0.17888467368233299</v>
      </c>
      <c r="J37" s="12">
        <v>7.3964918568674806E-2</v>
      </c>
      <c r="K37" s="12">
        <v>3.8615652021147802E-3</v>
      </c>
      <c r="M37" s="9" t="s">
        <v>259</v>
      </c>
      <c r="N37" s="2">
        <v>3.8038876572485898</v>
      </c>
      <c r="O37" s="2">
        <v>0.102270588929952</v>
      </c>
      <c r="P37" s="2">
        <v>9.3271042133837995E-2</v>
      </c>
      <c r="Q37" s="2">
        <v>4.8461658702868404E-3</v>
      </c>
      <c r="R37" s="2"/>
      <c r="S37" s="7" t="s">
        <v>46</v>
      </c>
      <c r="T37" s="8">
        <v>3.3558173093056816</v>
      </c>
      <c r="U37" s="4">
        <v>8.8290236937335301E-2</v>
      </c>
      <c r="V37" s="4">
        <v>0.10549</v>
      </c>
      <c r="W37" s="4">
        <v>2.4599999999999999E-3</v>
      </c>
      <c r="X37" s="4">
        <v>0.748</v>
      </c>
      <c r="Z37" s="23" t="s">
        <v>429</v>
      </c>
      <c r="AA37" s="17">
        <v>3.82938162284883</v>
      </c>
      <c r="AB37" s="17">
        <v>0.111359737140621</v>
      </c>
      <c r="AC37" s="17">
        <v>9.4130890787086294E-2</v>
      </c>
      <c r="AD37" s="17">
        <v>3.9094743652904902E-4</v>
      </c>
      <c r="AF37" s="28" t="s">
        <v>548</v>
      </c>
      <c r="AG37" s="14">
        <f t="shared" si="3"/>
        <v>0.26113876821084758</v>
      </c>
      <c r="AH37" s="14">
        <f t="shared" si="4"/>
        <v>1.518801072824469E-2</v>
      </c>
      <c r="AI37" s="14">
        <v>9.6909999999999996E-2</v>
      </c>
      <c r="AJ37" s="14">
        <f t="shared" si="5"/>
        <v>7.8189487305809803E-4</v>
      </c>
      <c r="AL37" s="29" t="s">
        <v>663</v>
      </c>
      <c r="AM37" s="19">
        <v>3.8593647485623865</v>
      </c>
      <c r="AN37">
        <v>7.9239784116212783E-2</v>
      </c>
      <c r="AO37" s="20">
        <v>9.4289999999999999E-2</v>
      </c>
      <c r="AP37">
        <v>2.48E-3</v>
      </c>
      <c r="AR37" s="31" t="s">
        <v>759</v>
      </c>
      <c r="AS37">
        <v>4.66278971166322</v>
      </c>
      <c r="AT37">
        <v>8.1404223879120802E-2</v>
      </c>
      <c r="AU37">
        <v>8.2820170849739194E-2</v>
      </c>
      <c r="AV37">
        <v>5.0250540902126997E-4</v>
      </c>
      <c r="AX37" s="31" t="s">
        <v>897</v>
      </c>
      <c r="AY37">
        <v>3.5131079387054802</v>
      </c>
      <c r="AZ37">
        <v>3.0272052510183198E-2</v>
      </c>
      <c r="BA37">
        <v>0.101044568627796</v>
      </c>
      <c r="BB37">
        <v>4.5753934614972599E-4</v>
      </c>
      <c r="BD37" s="31" t="s">
        <v>1046</v>
      </c>
      <c r="BE37">
        <v>3.3664733964086802</v>
      </c>
      <c r="BF37">
        <v>6.0906951918410598E-2</v>
      </c>
      <c r="BG37">
        <v>0.101783735401921</v>
      </c>
      <c r="BH37">
        <v>7.7584094807908797E-4</v>
      </c>
    </row>
    <row r="38" spans="1:60" x14ac:dyDescent="0.25">
      <c r="A38" s="9" t="s">
        <v>133</v>
      </c>
      <c r="B38" s="2">
        <v>3.43846109840963</v>
      </c>
      <c r="C38" s="2">
        <v>0.102471091887559</v>
      </c>
      <c r="D38" s="2">
        <v>9.9499510437582706E-2</v>
      </c>
      <c r="E38" s="2">
        <v>2.5432247974357001E-3</v>
      </c>
      <c r="F38" s="2"/>
      <c r="G38" s="11" t="s">
        <v>345</v>
      </c>
      <c r="H38" s="12">
        <v>4.9100108799603097</v>
      </c>
      <c r="I38" s="12">
        <v>0.13617646819821999</v>
      </c>
      <c r="J38" s="12">
        <v>7.7687995034235097E-2</v>
      </c>
      <c r="K38" s="12">
        <v>4.5217497402394499E-3</v>
      </c>
      <c r="M38" s="9" t="s">
        <v>260</v>
      </c>
      <c r="N38" s="2">
        <v>4.3014231289281399</v>
      </c>
      <c r="O38" s="2">
        <v>0.122948731097966</v>
      </c>
      <c r="P38" s="2">
        <v>8.5265772128553699E-2</v>
      </c>
      <c r="Q38" s="2">
        <v>4.3206221299196199E-3</v>
      </c>
      <c r="R38" s="2"/>
      <c r="S38" s="7" t="s">
        <v>47</v>
      </c>
      <c r="T38" s="8">
        <v>3.4292376804636331</v>
      </c>
      <c r="U38" s="4">
        <v>0.10419068567232877</v>
      </c>
      <c r="V38" s="4">
        <v>0.10526000000000001</v>
      </c>
      <c r="W38" s="4">
        <v>4.2199999999999998E-3</v>
      </c>
      <c r="X38" s="4">
        <v>0.60299999999999998</v>
      </c>
      <c r="Z38" s="23" t="s">
        <v>430</v>
      </c>
      <c r="AA38" s="17">
        <v>4.2669102332047597</v>
      </c>
      <c r="AB38" s="17">
        <v>0.16219262937775999</v>
      </c>
      <c r="AC38" s="17">
        <v>9.4050310032968695E-2</v>
      </c>
      <c r="AD38" s="17">
        <v>2.4589437062467898E-4</v>
      </c>
      <c r="AF38" s="28" t="s">
        <v>549</v>
      </c>
      <c r="AG38" s="14">
        <f t="shared" si="3"/>
        <v>0.23436162125419904</v>
      </c>
      <c r="AH38" s="14">
        <f t="shared" si="4"/>
        <v>1.7816980202981066E-2</v>
      </c>
      <c r="AI38" s="14">
        <v>8.9630000000000001E-2</v>
      </c>
      <c r="AJ38" s="14">
        <f t="shared" si="5"/>
        <v>4.9178874124935796E-4</v>
      </c>
      <c r="AL38" s="29" t="s">
        <v>664</v>
      </c>
      <c r="AM38" s="19">
        <v>3.9306631028654531</v>
      </c>
      <c r="AN38">
        <v>7.9104575632526708E-2</v>
      </c>
      <c r="AO38" s="20">
        <v>9.3109999999999998E-2</v>
      </c>
      <c r="AP38">
        <v>2E-3</v>
      </c>
      <c r="AR38" s="31" t="s">
        <v>760</v>
      </c>
      <c r="AS38">
        <v>4.6900408842280603</v>
      </c>
      <c r="AT38">
        <v>8.9195149524672696E-2</v>
      </c>
      <c r="AU38">
        <v>8.14063750560549E-2</v>
      </c>
      <c r="AV38">
        <v>6.5651962797977695E-4</v>
      </c>
      <c r="AX38" s="31" t="s">
        <v>898</v>
      </c>
      <c r="AY38">
        <v>3.4229591391324399</v>
      </c>
      <c r="AZ38">
        <v>2.46155952445507E-2</v>
      </c>
      <c r="BA38">
        <v>0.10100638795396499</v>
      </c>
      <c r="BB38">
        <v>7.8904437571432795E-4</v>
      </c>
      <c r="BD38" s="31" t="s">
        <v>1047</v>
      </c>
      <c r="BE38">
        <v>3.4732723983429499</v>
      </c>
      <c r="BF38">
        <v>6.6941309892107406E-2</v>
      </c>
      <c r="BG38">
        <v>0.101664438279717</v>
      </c>
      <c r="BH38">
        <v>6.2701921097731595E-4</v>
      </c>
    </row>
    <row r="39" spans="1:60" x14ac:dyDescent="0.25">
      <c r="A39" s="9" t="s">
        <v>134</v>
      </c>
      <c r="B39" s="2">
        <v>5.0571040020193498</v>
      </c>
      <c r="C39" s="2">
        <v>0.12624337388822199</v>
      </c>
      <c r="D39" s="2">
        <v>7.9197721344162503E-2</v>
      </c>
      <c r="E39" s="2">
        <v>2.95879257507596E-3</v>
      </c>
      <c r="F39" s="2"/>
      <c r="G39" s="11" t="s">
        <v>346</v>
      </c>
      <c r="H39" s="12">
        <v>4.0177784543141497</v>
      </c>
      <c r="I39" s="12">
        <v>0.22279765874417401</v>
      </c>
      <c r="J39" s="12">
        <v>0.142596895406506</v>
      </c>
      <c r="K39" s="12">
        <v>1.2926489058994E-2</v>
      </c>
      <c r="M39" s="9" t="s">
        <v>261</v>
      </c>
      <c r="N39" s="2">
        <v>3.8673997104998699</v>
      </c>
      <c r="O39" s="2">
        <v>0.102344592870092</v>
      </c>
      <c r="P39" s="2">
        <v>9.1626292628190803E-2</v>
      </c>
      <c r="Q39" s="2">
        <v>3.7337125292424399E-3</v>
      </c>
      <c r="R39" s="2"/>
      <c r="S39" s="7" t="s">
        <v>48</v>
      </c>
      <c r="T39" s="8">
        <v>3.4341838662041964</v>
      </c>
      <c r="U39" s="4">
        <v>0.11227525123206138</v>
      </c>
      <c r="V39" s="4">
        <v>0.10345</v>
      </c>
      <c r="W39" s="4">
        <v>2.5400000000000002E-3</v>
      </c>
      <c r="X39" s="4">
        <v>0.79900000000000004</v>
      </c>
      <c r="Z39" s="23" t="s">
        <v>431</v>
      </c>
      <c r="AA39" s="17">
        <v>3.9613765656689202</v>
      </c>
      <c r="AB39" s="17">
        <v>0.12369233433886601</v>
      </c>
      <c r="AC39" s="17">
        <v>9.3973849881310606E-2</v>
      </c>
      <c r="AD39" s="17">
        <v>3.9797866271093301E-4</v>
      </c>
      <c r="AF39" s="28" t="s">
        <v>550</v>
      </c>
      <c r="AG39" s="14">
        <f t="shared" si="3"/>
        <v>0.25243750080879762</v>
      </c>
      <c r="AH39" s="14">
        <f t="shared" si="4"/>
        <v>1.5764511771143349E-2</v>
      </c>
      <c r="AI39" s="14">
        <v>8.6029999999999995E-2</v>
      </c>
      <c r="AJ39" s="14">
        <f t="shared" si="5"/>
        <v>7.9595732542186602E-4</v>
      </c>
      <c r="AL39" s="29" t="s">
        <v>665</v>
      </c>
      <c r="AM39" s="19">
        <v>3.921722420487078</v>
      </c>
      <c r="AN39">
        <v>7.8437524391090238E-2</v>
      </c>
      <c r="AO39" s="20">
        <v>9.1889999999999999E-2</v>
      </c>
      <c r="AP39">
        <v>1.9599999999999999E-3</v>
      </c>
      <c r="AR39" s="31" t="s">
        <v>761</v>
      </c>
      <c r="AS39">
        <v>4.7167782712820703</v>
      </c>
      <c r="AT39">
        <v>4.5563200012586798E-2</v>
      </c>
      <c r="AU39">
        <v>8.1418225627138005E-2</v>
      </c>
      <c r="AV39">
        <v>5.85311153200516E-4</v>
      </c>
      <c r="AX39" s="31" t="s">
        <v>899</v>
      </c>
      <c r="AY39">
        <v>3.4551377679469302</v>
      </c>
      <c r="AZ39">
        <v>4.0261784975989999E-2</v>
      </c>
      <c r="BA39">
        <v>0.100848890319106</v>
      </c>
      <c r="BB39">
        <v>6.4047231867059003E-4</v>
      </c>
      <c r="BD39" s="31" t="s">
        <v>1048</v>
      </c>
      <c r="BE39">
        <v>3.5734971288410802</v>
      </c>
      <c r="BF39">
        <v>4.2683240609178198E-2</v>
      </c>
      <c r="BG39">
        <v>0.101594847594546</v>
      </c>
      <c r="BH39">
        <v>4.11844373188076E-4</v>
      </c>
    </row>
    <row r="40" spans="1:60" x14ac:dyDescent="0.25">
      <c r="A40" s="9" t="s">
        <v>135</v>
      </c>
      <c r="B40" s="2">
        <v>3.79250303289419</v>
      </c>
      <c r="C40" s="2">
        <v>0.117664175005174</v>
      </c>
      <c r="D40" s="2">
        <v>9.1118262251113705E-2</v>
      </c>
      <c r="E40" s="2">
        <v>2.9446975860493601E-3</v>
      </c>
      <c r="F40" s="2"/>
      <c r="G40" s="11" t="s">
        <v>347</v>
      </c>
      <c r="H40" s="12">
        <v>4.3162735994548598</v>
      </c>
      <c r="I40" s="12">
        <v>0.215595717776567</v>
      </c>
      <c r="J40" s="12">
        <v>0.16105557774680801</v>
      </c>
      <c r="K40" s="12">
        <v>8.7697839185066594E-3</v>
      </c>
      <c r="M40" s="9" t="s">
        <v>262</v>
      </c>
      <c r="N40" s="2">
        <v>5.8467179819953898</v>
      </c>
      <c r="O40" s="2">
        <v>0.19422893375313699</v>
      </c>
      <c r="P40" s="2">
        <v>7.4401120183451602E-2</v>
      </c>
      <c r="Q40" s="2">
        <v>5.2599058939487801E-3</v>
      </c>
      <c r="R40" s="2"/>
      <c r="S40" s="7" t="s">
        <v>49</v>
      </c>
      <c r="T40" s="8">
        <v>3.3242470580413537</v>
      </c>
      <c r="U40" s="4">
        <v>0.10254973970688042</v>
      </c>
      <c r="V40" s="4">
        <v>0.10253</v>
      </c>
      <c r="W40" s="4">
        <v>2.6199999999999999E-3</v>
      </c>
      <c r="X40" s="4">
        <v>0.77100000000000002</v>
      </c>
      <c r="Z40" s="23" t="s">
        <v>432</v>
      </c>
      <c r="AA40" s="17">
        <v>3.69129492578843</v>
      </c>
      <c r="AB40" s="17">
        <v>6.2242010645345597E-2</v>
      </c>
      <c r="AC40" s="17">
        <v>9.3689719110051806E-2</v>
      </c>
      <c r="AD40" s="17">
        <v>4.3972548053460302E-4</v>
      </c>
      <c r="AF40" s="28" t="s">
        <v>551</v>
      </c>
      <c r="AG40" s="14">
        <f t="shared" si="3"/>
        <v>0.27090764084270735</v>
      </c>
      <c r="AH40" s="14">
        <f t="shared" si="4"/>
        <v>9.1360005657828616E-3</v>
      </c>
      <c r="AI40" s="14">
        <v>8.5209999999999994E-2</v>
      </c>
      <c r="AJ40" s="14">
        <f t="shared" si="5"/>
        <v>8.7945096106920603E-4</v>
      </c>
      <c r="AL40" s="29" t="s">
        <v>666</v>
      </c>
      <c r="AM40" s="19">
        <v>3.8980275980353944</v>
      </c>
      <c r="AN40">
        <v>7.8404234840035211E-2</v>
      </c>
      <c r="AO40" s="20">
        <v>9.128E-2</v>
      </c>
      <c r="AP40">
        <v>2.0400000000000001E-3</v>
      </c>
      <c r="AR40" s="31" t="s">
        <v>762</v>
      </c>
      <c r="AS40">
        <v>4.7626305151882802</v>
      </c>
      <c r="AT40">
        <v>3.7657245488320397E-2</v>
      </c>
      <c r="AU40">
        <v>8.1055768761567101E-2</v>
      </c>
      <c r="AV40">
        <v>4.2565416927762097E-4</v>
      </c>
      <c r="AX40" s="31" t="s">
        <v>900</v>
      </c>
      <c r="AY40">
        <v>3.6410858733282399</v>
      </c>
      <c r="AZ40">
        <v>5.20402198458257E-2</v>
      </c>
      <c r="BA40">
        <v>0.100204375727346</v>
      </c>
      <c r="BB40">
        <v>1.07235741087078E-3</v>
      </c>
      <c r="BD40" s="31" t="s">
        <v>1049</v>
      </c>
      <c r="BE40">
        <v>3.40287523852618</v>
      </c>
      <c r="BF40">
        <v>6.0140869858057902E-2</v>
      </c>
      <c r="BG40">
        <v>0.10118683145874301</v>
      </c>
      <c r="BH40">
        <v>3.5980807910632499E-4</v>
      </c>
    </row>
    <row r="41" spans="1:60" x14ac:dyDescent="0.25">
      <c r="A41" s="9" t="s">
        <v>136</v>
      </c>
      <c r="B41" s="2">
        <v>3.1449380992790101</v>
      </c>
      <c r="C41" s="2">
        <v>9.2845131266186195E-2</v>
      </c>
      <c r="D41" s="2">
        <v>0.107202941547262</v>
      </c>
      <c r="E41" s="2">
        <v>3.6926827713877398E-3</v>
      </c>
      <c r="F41" s="2"/>
      <c r="G41" s="11" t="s">
        <v>348</v>
      </c>
      <c r="H41" s="12">
        <v>8.0504645452947905</v>
      </c>
      <c r="I41" s="12">
        <v>0.39773688285856001</v>
      </c>
      <c r="J41" s="12">
        <v>0.12422612514493001</v>
      </c>
      <c r="K41" s="12">
        <v>1.0975273048721401E-2</v>
      </c>
      <c r="M41" s="9" t="s">
        <v>263</v>
      </c>
      <c r="N41" s="2">
        <v>4.1931969716556496</v>
      </c>
      <c r="O41" s="2">
        <v>0.130044703672032</v>
      </c>
      <c r="P41" s="2">
        <v>8.7205506302923494E-2</v>
      </c>
      <c r="Q41" s="2">
        <v>5.1089640829437297E-3</v>
      </c>
      <c r="R41" s="2"/>
      <c r="S41" s="7" t="s">
        <v>50</v>
      </c>
      <c r="T41" s="8">
        <v>3.4642832397976857</v>
      </c>
      <c r="U41" s="4">
        <v>0.14281497454996347</v>
      </c>
      <c r="V41" s="4">
        <v>9.962E-2</v>
      </c>
      <c r="W41" s="4">
        <v>2.8400000000000001E-3</v>
      </c>
      <c r="X41" s="4">
        <v>0.82299999999999995</v>
      </c>
      <c r="Z41" s="23" t="s">
        <v>433</v>
      </c>
      <c r="AA41" s="17">
        <v>3.9115418354162999</v>
      </c>
      <c r="AB41" s="17">
        <v>0.14107194728469999</v>
      </c>
      <c r="AC41" s="17">
        <v>9.3577702194632101E-2</v>
      </c>
      <c r="AD41" s="17">
        <v>2.7259947002923097E-4</v>
      </c>
      <c r="AF41" s="28" t="s">
        <v>552</v>
      </c>
      <c r="AG41" s="14">
        <f t="shared" si="3"/>
        <v>0.25565366345968571</v>
      </c>
      <c r="AH41" s="14">
        <f t="shared" si="4"/>
        <v>1.8440585146336192E-2</v>
      </c>
      <c r="AI41" s="14">
        <v>8.5000000000000006E-2</v>
      </c>
      <c r="AJ41" s="14">
        <f t="shared" si="5"/>
        <v>5.4519894005846195E-4</v>
      </c>
      <c r="AL41" s="29" t="s">
        <v>667</v>
      </c>
      <c r="AM41" s="19">
        <v>3.8744672607516466</v>
      </c>
      <c r="AN41">
        <v>7.6858862359738211E-2</v>
      </c>
      <c r="AO41" s="20">
        <v>9.1170000000000001E-2</v>
      </c>
      <c r="AP41">
        <v>1.9799999999999996E-3</v>
      </c>
      <c r="AR41" s="31" t="s">
        <v>763</v>
      </c>
      <c r="AS41">
        <v>4.9515377088692603</v>
      </c>
      <c r="AT41">
        <v>7.5035324200487599E-2</v>
      </c>
      <c r="AU41">
        <v>8.0852564157903095E-2</v>
      </c>
      <c r="AV41">
        <v>4.3201058633158E-4</v>
      </c>
      <c r="AX41" s="31" t="s">
        <v>901</v>
      </c>
      <c r="AY41">
        <v>3.6256405539552801</v>
      </c>
      <c r="AZ41">
        <v>4.7633008404562499E-2</v>
      </c>
      <c r="BA41">
        <v>9.9182863925636702E-2</v>
      </c>
      <c r="BB41">
        <v>7.5201918059710903E-4</v>
      </c>
      <c r="BD41" s="31" t="s">
        <v>1050</v>
      </c>
      <c r="BE41">
        <v>3.3822966905788499</v>
      </c>
      <c r="BF41">
        <v>0.10788071210026901</v>
      </c>
      <c r="BG41">
        <v>0.101274951322223</v>
      </c>
      <c r="BH41">
        <v>8.8420094557256504E-4</v>
      </c>
    </row>
    <row r="42" spans="1:60" x14ac:dyDescent="0.25">
      <c r="A42" s="9" t="s">
        <v>137</v>
      </c>
      <c r="B42" s="2">
        <v>4.3910594244704004</v>
      </c>
      <c r="C42" s="2">
        <v>0.15714523558399801</v>
      </c>
      <c r="D42" s="2">
        <v>8.4641732342990106E-2</v>
      </c>
      <c r="E42" s="2">
        <v>3.1992233112401402E-3</v>
      </c>
      <c r="F42" s="2"/>
      <c r="G42" s="11" t="s">
        <v>349</v>
      </c>
      <c r="H42" s="12">
        <v>7.9567870665629004</v>
      </c>
      <c r="I42" s="12">
        <v>0.32235515432691703</v>
      </c>
      <c r="J42" s="12">
        <v>0.128856623358692</v>
      </c>
      <c r="K42" s="12">
        <v>6.6426209544471404E-3</v>
      </c>
      <c r="M42" s="9" t="s">
        <v>264</v>
      </c>
      <c r="N42" s="2">
        <v>3.3823298178824701</v>
      </c>
      <c r="O42" s="2">
        <v>0.106881296862659</v>
      </c>
      <c r="P42" s="2">
        <v>0.10037324562231199</v>
      </c>
      <c r="Q42" s="2">
        <v>4.5281435395612699E-3</v>
      </c>
      <c r="R42" s="2"/>
      <c r="S42" s="7" t="s">
        <v>51</v>
      </c>
      <c r="T42" s="8">
        <v>3.5730875049129951</v>
      </c>
      <c r="U42" s="4">
        <v>0.11260453708269058</v>
      </c>
      <c r="V42" s="4">
        <v>9.8949999999999996E-2</v>
      </c>
      <c r="W42" s="4">
        <v>2.32E-3</v>
      </c>
      <c r="X42" s="4">
        <v>0.80200000000000005</v>
      </c>
      <c r="Z42" s="23" t="s">
        <v>434</v>
      </c>
      <c r="AA42" s="17">
        <v>3.8780766370657398</v>
      </c>
      <c r="AB42" s="17">
        <v>0.12042821133317901</v>
      </c>
      <c r="AC42" s="17">
        <v>9.3586172017374999E-2</v>
      </c>
      <c r="AD42" s="17">
        <v>3.7659275839821302E-4</v>
      </c>
      <c r="AF42" s="28" t="s">
        <v>553</v>
      </c>
      <c r="AG42" s="14">
        <f t="shared" si="3"/>
        <v>0.25785978297649831</v>
      </c>
      <c r="AH42" s="14">
        <f t="shared" si="4"/>
        <v>1.6014945213727091E-2</v>
      </c>
      <c r="AI42" s="14">
        <v>8.3589999999999998E-2</v>
      </c>
      <c r="AJ42" s="14">
        <f t="shared" si="5"/>
        <v>7.5318551679642604E-4</v>
      </c>
      <c r="AL42" s="29" t="s">
        <v>668</v>
      </c>
      <c r="AM42" s="19">
        <v>3.9374729298736075</v>
      </c>
      <c r="AN42">
        <v>7.8758760813316259E-2</v>
      </c>
      <c r="AO42" s="20">
        <v>9.1160000000000005E-2</v>
      </c>
      <c r="AP42">
        <v>1.9400000000000003E-3</v>
      </c>
      <c r="AR42" s="31" t="s">
        <v>764</v>
      </c>
      <c r="AS42">
        <v>4.8553686622685603</v>
      </c>
      <c r="AT42">
        <v>6.7638634529271602E-2</v>
      </c>
      <c r="AU42">
        <v>7.9995878706329099E-2</v>
      </c>
      <c r="AV42">
        <v>3.4366201031827402E-4</v>
      </c>
      <c r="AX42" s="31" t="s">
        <v>902</v>
      </c>
      <c r="AY42">
        <v>3.6944806735084099</v>
      </c>
      <c r="AZ42">
        <v>3.2853463056567701E-2</v>
      </c>
      <c r="BA42">
        <v>9.8779342419886604E-2</v>
      </c>
      <c r="BB42">
        <v>8.3459130891590998E-4</v>
      </c>
      <c r="BD42" s="31" t="s">
        <v>1051</v>
      </c>
      <c r="BE42">
        <v>3.41092829767747</v>
      </c>
      <c r="BF42">
        <v>5.4970573092698399E-2</v>
      </c>
      <c r="BG42">
        <v>0.100952576377073</v>
      </c>
      <c r="BH42">
        <v>6.0214685056977598E-4</v>
      </c>
    </row>
    <row r="43" spans="1:60" x14ac:dyDescent="0.25">
      <c r="A43" s="9" t="s">
        <v>138</v>
      </c>
      <c r="B43" s="2">
        <v>2.75382419235136</v>
      </c>
      <c r="C43" s="2">
        <v>7.9108247176392907E-2</v>
      </c>
      <c r="D43" s="2">
        <v>0.123172250959459</v>
      </c>
      <c r="E43" s="2">
        <v>5.4353980915188603E-3</v>
      </c>
      <c r="F43" s="2"/>
      <c r="G43" s="11"/>
      <c r="M43" s="9" t="s">
        <v>265</v>
      </c>
      <c r="N43" s="2">
        <v>4.9760276460690198</v>
      </c>
      <c r="O43" s="2">
        <v>0.123013087313858</v>
      </c>
      <c r="P43" s="2">
        <v>7.8524421627396701E-2</v>
      </c>
      <c r="Q43" s="2">
        <v>3.35665537823049E-3</v>
      </c>
      <c r="R43" s="2"/>
      <c r="S43" s="7" t="s">
        <v>52</v>
      </c>
      <c r="T43" s="8">
        <v>3.7398556415722353</v>
      </c>
      <c r="U43" s="4">
        <v>0.22937893160471468</v>
      </c>
      <c r="V43" s="4">
        <v>9.6420000000000006E-2</v>
      </c>
      <c r="W43" s="4">
        <v>2.4599999999999999E-3</v>
      </c>
      <c r="X43" s="4">
        <v>0.92300000000000004</v>
      </c>
      <c r="Z43" s="23" t="s">
        <v>435</v>
      </c>
      <c r="AA43" s="17">
        <v>3.8485869714610499</v>
      </c>
      <c r="AB43" s="17">
        <v>0.116366905616033</v>
      </c>
      <c r="AC43" s="17">
        <v>9.3474426249220505E-2</v>
      </c>
      <c r="AD43" s="17">
        <v>3.1612191357189201E-4</v>
      </c>
      <c r="AF43" s="28" t="s">
        <v>554</v>
      </c>
      <c r="AG43" s="14">
        <f t="shared" si="3"/>
        <v>0.25983562471510607</v>
      </c>
      <c r="AH43" s="14">
        <f t="shared" si="4"/>
        <v>1.5712918970583658E-2</v>
      </c>
      <c r="AI43" s="14">
        <v>8.0549999999999997E-2</v>
      </c>
      <c r="AJ43" s="14">
        <f t="shared" si="5"/>
        <v>6.3224382714378402E-4</v>
      </c>
      <c r="AL43" s="29" t="s">
        <v>669</v>
      </c>
      <c r="AM43" s="19">
        <v>4.2464648180389828</v>
      </c>
      <c r="AN43">
        <v>8.5113227487978255E-2</v>
      </c>
      <c r="AO43" s="20">
        <v>8.9410000000000003E-2</v>
      </c>
      <c r="AP43">
        <v>1.8799999999999999E-3</v>
      </c>
      <c r="AR43" s="31" t="s">
        <v>765</v>
      </c>
      <c r="AS43">
        <v>5.0306588985072596</v>
      </c>
      <c r="AT43">
        <v>4.3161062090456198E-2</v>
      </c>
      <c r="AU43">
        <v>7.9565386303868002E-2</v>
      </c>
      <c r="AV43">
        <v>3.9884403806157199E-4</v>
      </c>
      <c r="AX43" s="31" t="s">
        <v>903</v>
      </c>
      <c r="AY43">
        <v>3.8523285530145901</v>
      </c>
      <c r="AZ43">
        <v>7.2586241798859905E-2</v>
      </c>
      <c r="BA43">
        <v>9.8035021628290295E-2</v>
      </c>
      <c r="BB43">
        <v>3.7958370235514498E-4</v>
      </c>
      <c r="BD43" s="31" t="s">
        <v>1052</v>
      </c>
      <c r="BE43">
        <v>3.3920026340347702</v>
      </c>
      <c r="BF43">
        <v>6.9150670077138196E-2</v>
      </c>
      <c r="BG43">
        <v>0.10063444627523099</v>
      </c>
      <c r="BH43">
        <v>6.0426444872389905E-4</v>
      </c>
    </row>
    <row r="44" spans="1:60" x14ac:dyDescent="0.25">
      <c r="A44" s="9" t="s">
        <v>139</v>
      </c>
      <c r="B44" s="2">
        <v>5.5060626689829499</v>
      </c>
      <c r="C44" s="2">
        <v>0.17204439432638</v>
      </c>
      <c r="D44" s="2">
        <v>7.5186047718118404E-2</v>
      </c>
      <c r="E44" s="2">
        <v>2.4766378887680898E-3</v>
      </c>
      <c r="F44" s="2"/>
      <c r="M44" s="9" t="s">
        <v>266</v>
      </c>
      <c r="N44" s="2">
        <v>4.92502997024945</v>
      </c>
      <c r="O44" s="2">
        <v>0.15270200582492299</v>
      </c>
      <c r="P44" s="2">
        <v>7.9194361902407404E-2</v>
      </c>
      <c r="Q44" s="2">
        <v>5.05072490501619E-3</v>
      </c>
      <c r="R44" s="2"/>
      <c r="S44" s="7" t="s">
        <v>53</v>
      </c>
      <c r="T44" s="8">
        <v>3.723840023832576</v>
      </c>
      <c r="U44" s="4">
        <v>0.11370927308939871</v>
      </c>
      <c r="V44" s="4">
        <v>9.5610000000000001E-2</v>
      </c>
      <c r="W44" s="4">
        <v>2.3999999999999998E-3</v>
      </c>
      <c r="X44" s="4">
        <v>0.77200000000000002</v>
      </c>
      <c r="Z44" s="23" t="s">
        <v>436</v>
      </c>
      <c r="AA44" s="17">
        <v>3.8189522580237001</v>
      </c>
      <c r="AB44" s="17">
        <v>6.6006680947354304E-2</v>
      </c>
      <c r="AC44" s="17">
        <v>9.3131059235195698E-2</v>
      </c>
      <c r="AD44" s="17">
        <v>2.9676451144120799E-4</v>
      </c>
      <c r="AF44" s="28" t="s">
        <v>555</v>
      </c>
      <c r="AG44" s="14">
        <f t="shared" si="3"/>
        <v>0.26185192493542664</v>
      </c>
      <c r="AH44" s="14">
        <f t="shared" si="4"/>
        <v>9.0516850156213777E-3</v>
      </c>
      <c r="AI44" s="14">
        <v>7.9240000000000005E-2</v>
      </c>
      <c r="AJ44" s="14">
        <f t="shared" si="5"/>
        <v>5.9352902288241599E-4</v>
      </c>
      <c r="AL44" s="29" t="s">
        <v>670</v>
      </c>
      <c r="AM44" s="19">
        <v>4.2030934767989239</v>
      </c>
      <c r="AN44">
        <v>8.4796774918606405E-2</v>
      </c>
      <c r="AO44" s="20">
        <v>8.8450000000000001E-2</v>
      </c>
      <c r="AP44">
        <v>2.0400000000000001E-3</v>
      </c>
      <c r="AR44" s="31" t="s">
        <v>766</v>
      </c>
      <c r="AS44">
        <v>5.0142310112455801</v>
      </c>
      <c r="AT44">
        <v>7.4158598111933594E-2</v>
      </c>
      <c r="AU44">
        <v>7.9269494180778693E-2</v>
      </c>
      <c r="AV44">
        <v>4.0666934795200599E-4</v>
      </c>
      <c r="AX44" s="31" t="s">
        <v>904</v>
      </c>
      <c r="AY44">
        <v>3.7654001282620202</v>
      </c>
      <c r="AZ44">
        <v>5.9550681033989201E-2</v>
      </c>
      <c r="BA44">
        <v>9.4551461454771599E-2</v>
      </c>
      <c r="BB44">
        <v>3.8740141809631598E-4</v>
      </c>
      <c r="BD44" s="31" t="s">
        <v>1053</v>
      </c>
      <c r="BE44">
        <v>3.4749638885019798</v>
      </c>
      <c r="BF44">
        <v>7.2095825610862502E-2</v>
      </c>
      <c r="BG44">
        <v>0.10043602914015599</v>
      </c>
      <c r="BH44">
        <v>6.6872134653452996E-4</v>
      </c>
    </row>
    <row r="45" spans="1:60" x14ac:dyDescent="0.25">
      <c r="A45" s="9" t="s">
        <v>140</v>
      </c>
      <c r="B45" s="2">
        <v>3.0898645501606401</v>
      </c>
      <c r="C45" s="2">
        <v>9.3068552415140698E-2</v>
      </c>
      <c r="D45" s="2">
        <v>0.10745574148296801</v>
      </c>
      <c r="E45" s="2">
        <v>2.6577600628103601E-3</v>
      </c>
      <c r="F45" s="2"/>
      <c r="M45" s="9" t="s">
        <v>267</v>
      </c>
      <c r="N45" s="2">
        <v>3.3659274986157302</v>
      </c>
      <c r="O45" s="2">
        <v>0.130418442177299</v>
      </c>
      <c r="P45" s="2">
        <v>0.102819219454947</v>
      </c>
      <c r="Q45" s="2">
        <v>5.6711450560771003E-3</v>
      </c>
      <c r="R45" s="2"/>
      <c r="S45" s="7" t="s">
        <v>54</v>
      </c>
      <c r="T45" s="8">
        <v>3.6313457767448614</v>
      </c>
      <c r="U45" s="4">
        <v>0.11472404770745984</v>
      </c>
      <c r="V45" s="4">
        <v>9.4009999999999996E-2</v>
      </c>
      <c r="W45" s="4">
        <v>2.3400000000000001E-3</v>
      </c>
      <c r="X45" s="4">
        <v>0.78600000000000003</v>
      </c>
      <c r="Z45" s="23" t="s">
        <v>437</v>
      </c>
      <c r="AA45" s="17">
        <v>3.92824323580576</v>
      </c>
      <c r="AB45" s="17">
        <v>0.11985016542212</v>
      </c>
      <c r="AC45" s="17">
        <v>9.2493421365019604E-2</v>
      </c>
      <c r="AD45" s="17">
        <v>4.1540680233552701E-4</v>
      </c>
      <c r="AF45" s="28" t="s">
        <v>556</v>
      </c>
      <c r="AG45" s="14">
        <f t="shared" si="3"/>
        <v>0.25456672104340311</v>
      </c>
      <c r="AH45" s="14">
        <f t="shared" si="4"/>
        <v>1.553359188653213E-2</v>
      </c>
      <c r="AI45" s="14">
        <v>7.8750000000000001E-2</v>
      </c>
      <c r="AJ45" s="14">
        <f t="shared" si="5"/>
        <v>8.3081360467105402E-4</v>
      </c>
      <c r="AL45" s="29" t="s">
        <v>671</v>
      </c>
      <c r="AM45" s="19">
        <v>4.3001505052676841</v>
      </c>
      <c r="AN45">
        <v>8.5429779979947107E-2</v>
      </c>
      <c r="AO45" s="20">
        <v>8.6989999999999998E-2</v>
      </c>
      <c r="AP45">
        <v>1.9600000000000004E-3</v>
      </c>
      <c r="AR45" s="31" t="s">
        <v>767</v>
      </c>
      <c r="AS45">
        <v>5.1004717665245796</v>
      </c>
      <c r="AT45">
        <v>7.4471625229886498E-2</v>
      </c>
      <c r="AU45">
        <v>7.9205867535165897E-2</v>
      </c>
      <c r="AV45">
        <v>2.8880907364907101E-4</v>
      </c>
      <c r="AX45" s="31" t="s">
        <v>905</v>
      </c>
      <c r="AY45">
        <v>3.7971922327838801</v>
      </c>
      <c r="AZ45">
        <v>3.5086078962352003E-2</v>
      </c>
      <c r="BA45">
        <v>9.4417861321469496E-2</v>
      </c>
      <c r="BB45">
        <v>4.9561767397616997E-4</v>
      </c>
      <c r="BD45" s="31" t="s">
        <v>1054</v>
      </c>
      <c r="BE45">
        <v>3.4693001424396099</v>
      </c>
      <c r="BF45">
        <v>5.5450840235634499E-2</v>
      </c>
      <c r="BG45">
        <v>9.9954225550115697E-2</v>
      </c>
      <c r="BH45">
        <v>3.6665598841080602E-4</v>
      </c>
    </row>
    <row r="46" spans="1:60" x14ac:dyDescent="0.25">
      <c r="A46" s="9" t="s">
        <v>141</v>
      </c>
      <c r="B46" s="2">
        <v>3.9683204130665999</v>
      </c>
      <c r="C46" s="2">
        <v>0.130798302978061</v>
      </c>
      <c r="D46" s="2">
        <v>9.0562459518872901E-2</v>
      </c>
      <c r="E46" s="2">
        <v>3.2899785357343699E-3</v>
      </c>
      <c r="F46" s="2"/>
      <c r="M46" s="9" t="s">
        <v>268</v>
      </c>
      <c r="N46" s="2">
        <v>5.6950434566455996</v>
      </c>
      <c r="O46" s="2">
        <v>0.149737004496447</v>
      </c>
      <c r="P46" s="2">
        <v>7.4820386866334895E-2</v>
      </c>
      <c r="Q46" s="2">
        <v>4.0525767621593899E-3</v>
      </c>
      <c r="R46" s="2"/>
      <c r="S46" s="7" t="s">
        <v>55</v>
      </c>
      <c r="T46" s="8">
        <v>3.959455178967374</v>
      </c>
      <c r="U46" s="4">
        <v>0.13952783929683887</v>
      </c>
      <c r="V46" s="4">
        <v>9.2979999999999993E-2</v>
      </c>
      <c r="W46" s="4">
        <v>3.64E-3</v>
      </c>
      <c r="X46" s="4">
        <v>0.67</v>
      </c>
      <c r="Z46" s="23" t="s">
        <v>438</v>
      </c>
      <c r="AA46" s="17">
        <v>3.9437395856145701</v>
      </c>
      <c r="AB46" s="17">
        <v>0.11775420032924799</v>
      </c>
      <c r="AC46" s="17">
        <v>9.2153111977949398E-2</v>
      </c>
      <c r="AD46" s="17">
        <v>3.9771389126873498E-4</v>
      </c>
      <c r="AF46" s="28" t="s">
        <v>557</v>
      </c>
      <c r="AG46" s="14">
        <f t="shared" si="3"/>
        <v>0.25356643822215397</v>
      </c>
      <c r="AH46" s="14">
        <f t="shared" si="4"/>
        <v>1.5142233666796446E-2</v>
      </c>
      <c r="AI46" s="14">
        <v>7.8530000000000003E-2</v>
      </c>
      <c r="AJ46" s="14">
        <f t="shared" si="5"/>
        <v>7.9542778253746996E-4</v>
      </c>
      <c r="AL46" s="29" t="s">
        <v>672</v>
      </c>
      <c r="AM46" s="19">
        <v>4.4050922866834066</v>
      </c>
      <c r="AN46">
        <v>8.8486061527141238E-2</v>
      </c>
      <c r="AO46" s="20">
        <v>8.634E-2</v>
      </c>
      <c r="AP46">
        <v>1.9200000000000003E-3</v>
      </c>
      <c r="AR46" s="31" t="s">
        <v>768</v>
      </c>
      <c r="AS46">
        <v>4.91345724216756</v>
      </c>
      <c r="AT46">
        <v>6.6040060630359207E-2</v>
      </c>
      <c r="AU46">
        <v>7.9125727752714897E-2</v>
      </c>
      <c r="AV46">
        <v>7.3512281547877603E-4</v>
      </c>
      <c r="AX46" s="31" t="s">
        <v>906</v>
      </c>
      <c r="AY46">
        <v>3.8526060606619401</v>
      </c>
      <c r="AZ46">
        <v>9.4275130618424394E-2</v>
      </c>
      <c r="BA46">
        <v>9.4664901671406801E-2</v>
      </c>
      <c r="BB46">
        <v>1.2119128273754801E-3</v>
      </c>
      <c r="BD46" s="31" t="s">
        <v>1055</v>
      </c>
      <c r="BE46">
        <v>3.6512595458294701</v>
      </c>
      <c r="BF46">
        <v>5.8144703077096002E-2</v>
      </c>
      <c r="BG46">
        <v>9.9923947505833999E-2</v>
      </c>
      <c r="BH46">
        <v>5.1281971131696504E-4</v>
      </c>
    </row>
    <row r="47" spans="1:60" x14ac:dyDescent="0.25">
      <c r="A47" s="9" t="s">
        <v>142</v>
      </c>
      <c r="B47" s="2">
        <v>4.2827855892651003</v>
      </c>
      <c r="C47" s="2">
        <v>0.19360802517109199</v>
      </c>
      <c r="D47" s="2">
        <v>8.6678962480609995E-2</v>
      </c>
      <c r="E47" s="2">
        <v>5.4765288128633604E-3</v>
      </c>
      <c r="F47" s="2"/>
      <c r="M47" s="9" t="s">
        <v>269</v>
      </c>
      <c r="N47" s="2">
        <v>6.4931684344031702</v>
      </c>
      <c r="O47" s="2">
        <v>0.15708752865266701</v>
      </c>
      <c r="P47" s="2">
        <v>6.9567687741193998E-2</v>
      </c>
      <c r="Q47" s="2">
        <v>3.4298520510035102E-3</v>
      </c>
      <c r="R47" s="2"/>
      <c r="S47" s="7" t="s">
        <v>56</v>
      </c>
      <c r="T47" s="8">
        <v>4.1049218012396862</v>
      </c>
      <c r="U47" s="4">
        <v>0.11593063500073496</v>
      </c>
      <c r="V47" s="4">
        <v>9.2060000000000003E-2</v>
      </c>
      <c r="W47" s="4">
        <v>2.2200000000000002E-3</v>
      </c>
      <c r="X47" s="4">
        <v>0.76200000000000001</v>
      </c>
      <c r="Z47" s="23" t="s">
        <v>439</v>
      </c>
      <c r="AA47" s="17">
        <v>3.9327351174500902</v>
      </c>
      <c r="AB47" s="17">
        <v>0.14927705516704301</v>
      </c>
      <c r="AC47" s="17">
        <v>9.2007756482255398E-2</v>
      </c>
      <c r="AD47" s="17">
        <v>3.5629533901442001E-4</v>
      </c>
      <c r="AF47" s="28" t="s">
        <v>558</v>
      </c>
      <c r="AG47" s="14">
        <f t="shared" si="3"/>
        <v>0.2542759606572183</v>
      </c>
      <c r="AH47" s="14">
        <f t="shared" si="4"/>
        <v>1.9303393426248035E-2</v>
      </c>
      <c r="AI47" s="14">
        <v>7.7960000000000002E-2</v>
      </c>
      <c r="AJ47" s="14">
        <f t="shared" si="5"/>
        <v>7.1259067802884003E-4</v>
      </c>
      <c r="AL47" s="29" t="s">
        <v>673</v>
      </c>
      <c r="AM47" s="19">
        <v>4.4788820710350699</v>
      </c>
      <c r="AN47">
        <v>8.9068107651702921E-2</v>
      </c>
      <c r="AO47" s="20">
        <v>8.6220000000000005E-2</v>
      </c>
      <c r="AP47">
        <v>1.9199999999999998E-3</v>
      </c>
      <c r="AR47" s="31" t="s">
        <v>769</v>
      </c>
      <c r="AS47">
        <v>4.9737722430954099</v>
      </c>
      <c r="AT47">
        <v>6.9287447962498097E-2</v>
      </c>
      <c r="AU47">
        <v>7.8959960653898806E-2</v>
      </c>
      <c r="AV47">
        <v>3.3372746557357798E-4</v>
      </c>
      <c r="AX47" s="31" t="s">
        <v>907</v>
      </c>
      <c r="AY47">
        <v>3.8834932020351798</v>
      </c>
      <c r="AZ47">
        <v>3.8479927131379398E-2</v>
      </c>
      <c r="BA47">
        <v>9.3786504076428398E-2</v>
      </c>
      <c r="BB47">
        <v>4.9212883741361001E-4</v>
      </c>
      <c r="BD47" s="31" t="s">
        <v>1056</v>
      </c>
      <c r="BE47">
        <v>3.55773622720326</v>
      </c>
      <c r="BF47">
        <v>9.3069865036164295E-2</v>
      </c>
      <c r="BG47">
        <v>9.9478701362520197E-2</v>
      </c>
      <c r="BH47">
        <v>5.4063811161759296E-4</v>
      </c>
    </row>
    <row r="48" spans="1:60" x14ac:dyDescent="0.25">
      <c r="A48" s="9" t="s">
        <v>143</v>
      </c>
      <c r="B48" s="2">
        <v>5.5190001622577496</v>
      </c>
      <c r="C48" s="2">
        <v>0.153061642041948</v>
      </c>
      <c r="D48" s="2">
        <v>7.6419790561445905E-2</v>
      </c>
      <c r="E48" s="2">
        <v>4.2366872636153199E-3</v>
      </c>
      <c r="F48" s="2"/>
      <c r="M48" s="9" t="s">
        <v>270</v>
      </c>
      <c r="N48" s="2">
        <v>6.0534275684673604</v>
      </c>
      <c r="O48" s="2">
        <v>0.183656752983406</v>
      </c>
      <c r="P48" s="2">
        <v>7.1761657738837206E-2</v>
      </c>
      <c r="Q48" s="2">
        <v>3.2293422292511901E-3</v>
      </c>
      <c r="R48" s="2"/>
      <c r="S48" s="7" t="s">
        <v>57</v>
      </c>
      <c r="T48" s="8">
        <v>4.0032025620496396</v>
      </c>
      <c r="U48" s="4">
        <v>0.1240383820266782</v>
      </c>
      <c r="V48" s="4">
        <v>9.1499999999999998E-2</v>
      </c>
      <c r="W48" s="4">
        <v>2.5999999999999999E-3</v>
      </c>
      <c r="X48" s="4">
        <v>0.73799999999999999</v>
      </c>
      <c r="Z48" s="23" t="s">
        <v>440</v>
      </c>
      <c r="AA48" s="17">
        <v>3.9779331971979599</v>
      </c>
      <c r="AB48" s="17">
        <v>6.8583299413985402E-2</v>
      </c>
      <c r="AC48" s="17">
        <v>9.2002911287449002E-2</v>
      </c>
      <c r="AD48" s="17">
        <v>3.1186274002744301E-4</v>
      </c>
      <c r="AF48" s="28" t="s">
        <v>559</v>
      </c>
      <c r="AG48" s="14">
        <f t="shared" si="3"/>
        <v>0.25138682587842248</v>
      </c>
      <c r="AH48" s="14">
        <f t="shared" si="4"/>
        <v>8.6682893318046211E-3</v>
      </c>
      <c r="AI48" s="14">
        <v>7.7869999999999995E-2</v>
      </c>
      <c r="AJ48" s="14">
        <f t="shared" si="5"/>
        <v>6.2372548005488603E-4</v>
      </c>
      <c r="AL48" s="29" t="s">
        <v>674</v>
      </c>
      <c r="AM48" s="19">
        <v>4.336137368831845</v>
      </c>
      <c r="AN48">
        <v>8.7993768476858192E-2</v>
      </c>
      <c r="AO48" s="20">
        <v>8.6139999999999994E-2</v>
      </c>
      <c r="AP48">
        <v>2E-3</v>
      </c>
      <c r="AR48" s="31" t="s">
        <v>770</v>
      </c>
      <c r="AS48">
        <v>4.9465135640847704</v>
      </c>
      <c r="AT48">
        <v>4.6002536280957997E-2</v>
      </c>
      <c r="AU48">
        <v>7.88783611127266E-2</v>
      </c>
      <c r="AV48">
        <v>5.3644400107306001E-4</v>
      </c>
      <c r="AX48" s="31" t="s">
        <v>908</v>
      </c>
      <c r="AY48">
        <v>3.8570362870247901</v>
      </c>
      <c r="AZ48">
        <v>3.6397758044525601E-2</v>
      </c>
      <c r="BA48">
        <v>9.3432226907252905E-2</v>
      </c>
      <c r="BB48">
        <v>5.1436785933956604E-4</v>
      </c>
      <c r="BD48" s="31" t="s">
        <v>1057</v>
      </c>
      <c r="BE48">
        <v>3.5228218266649698</v>
      </c>
      <c r="BF48">
        <v>6.5134987349023996E-2</v>
      </c>
      <c r="BG48">
        <v>9.9292284839418696E-2</v>
      </c>
      <c r="BH48">
        <v>6.1875030091081097E-4</v>
      </c>
    </row>
    <row r="49" spans="1:60" x14ac:dyDescent="0.25">
      <c r="A49" s="9" t="s">
        <v>144</v>
      </c>
      <c r="B49" s="2">
        <v>3.7949662751583602</v>
      </c>
      <c r="C49" s="2">
        <v>0.107454914146659</v>
      </c>
      <c r="D49" s="2">
        <v>9.3581775425941996E-2</v>
      </c>
      <c r="E49" s="2">
        <v>2.92658300254216E-3</v>
      </c>
      <c r="F49" s="2"/>
      <c r="M49" s="9" t="s">
        <v>271</v>
      </c>
      <c r="N49" s="2">
        <v>3.48199807574637</v>
      </c>
      <c r="O49" s="2">
        <v>9.8619722465264403E-2</v>
      </c>
      <c r="P49" s="2">
        <v>0.10030145676109101</v>
      </c>
      <c r="Q49" s="2">
        <v>4.85565044092245E-3</v>
      </c>
      <c r="R49" s="2"/>
      <c r="S49" s="7" t="s">
        <v>58</v>
      </c>
      <c r="T49" s="8">
        <v>4.1531688678461665</v>
      </c>
      <c r="U49" s="4">
        <v>0.12936608733634958</v>
      </c>
      <c r="V49" s="4">
        <v>8.9929999999999996E-2</v>
      </c>
      <c r="W49" s="4">
        <v>2.0400000000000001E-3</v>
      </c>
      <c r="X49" s="4">
        <v>0.80900000000000005</v>
      </c>
      <c r="Z49" s="23" t="s">
        <v>441</v>
      </c>
      <c r="AA49" s="17">
        <v>3.9782527347436201</v>
      </c>
      <c r="AB49" s="17">
        <v>0.12172595624346801</v>
      </c>
      <c r="AC49" s="17">
        <v>9.1955659167060194E-2</v>
      </c>
      <c r="AD49" s="17">
        <v>4.4606132142776199E-4</v>
      </c>
      <c r="AF49" s="28" t="s">
        <v>560</v>
      </c>
      <c r="AG49" s="14">
        <f t="shared" si="3"/>
        <v>0.25136663421773414</v>
      </c>
      <c r="AH49" s="14">
        <f t="shared" si="4"/>
        <v>1.5382554079901923E-2</v>
      </c>
      <c r="AI49" s="14">
        <v>7.7799999999999994E-2</v>
      </c>
      <c r="AJ49" s="14">
        <f t="shared" si="5"/>
        <v>8.9212264285552399E-4</v>
      </c>
      <c r="AL49" s="29" t="s">
        <v>675</v>
      </c>
      <c r="AM49" s="19">
        <v>4.6272731479339226</v>
      </c>
      <c r="AN49">
        <v>9.3783056720885577E-2</v>
      </c>
      <c r="AO49" s="20">
        <v>8.5769999999999999E-2</v>
      </c>
      <c r="AP49">
        <v>1.98E-3</v>
      </c>
      <c r="AR49" s="31" t="s">
        <v>771</v>
      </c>
      <c r="AS49">
        <v>4.9584699655795204</v>
      </c>
      <c r="AT49">
        <v>8.7546444218425806E-2</v>
      </c>
      <c r="AU49">
        <v>7.8363672847026097E-2</v>
      </c>
      <c r="AV49">
        <v>5.6050769005027302E-4</v>
      </c>
      <c r="AX49" s="31" t="s">
        <v>909</v>
      </c>
      <c r="AY49">
        <v>3.8927462336798802</v>
      </c>
      <c r="AZ49">
        <v>3.0692393654373901E-2</v>
      </c>
      <c r="BA49">
        <v>9.34142460090059E-2</v>
      </c>
      <c r="BB49">
        <v>7.8777220825522205E-4</v>
      </c>
      <c r="BD49" s="31" t="s">
        <v>1058</v>
      </c>
      <c r="BE49">
        <v>3.4221583790239101</v>
      </c>
      <c r="BF49">
        <v>6.1565364788470099E-2</v>
      </c>
      <c r="BG49">
        <v>9.89836652925358E-2</v>
      </c>
      <c r="BH49">
        <v>6.3937516258869096E-4</v>
      </c>
    </row>
    <row r="50" spans="1:60" x14ac:dyDescent="0.25">
      <c r="A50" s="9" t="s">
        <v>145</v>
      </c>
      <c r="B50" s="2">
        <v>6.1445708064950297</v>
      </c>
      <c r="C50" s="2">
        <v>0.18262819334751901</v>
      </c>
      <c r="D50" s="2">
        <v>7.1048224405105401E-2</v>
      </c>
      <c r="E50" s="2">
        <v>2.87127930383367E-3</v>
      </c>
      <c r="F50" s="2"/>
      <c r="M50" s="9" t="s">
        <v>272</v>
      </c>
      <c r="N50" s="2">
        <v>1.91925008664195</v>
      </c>
      <c r="O50" s="2">
        <v>5.3451624622467497E-2</v>
      </c>
      <c r="P50" s="2">
        <v>0.18158420360566599</v>
      </c>
      <c r="Q50" s="2">
        <v>8.2595165087179304E-3</v>
      </c>
      <c r="R50" s="2"/>
      <c r="S50" s="7" t="s">
        <v>59</v>
      </c>
      <c r="T50" s="8">
        <v>4.1590417567792386</v>
      </c>
      <c r="U50" s="4">
        <v>0.15152722421138801</v>
      </c>
      <c r="V50" s="4">
        <v>8.8260000000000005E-2</v>
      </c>
      <c r="W50" s="4">
        <v>2.2200000000000002E-3</v>
      </c>
      <c r="X50" s="4">
        <v>0.82399999999999995</v>
      </c>
      <c r="Z50" s="23" t="s">
        <v>442</v>
      </c>
      <c r="AA50" s="17">
        <v>4.0027400062714902</v>
      </c>
      <c r="AB50" s="17">
        <v>0.15089113041750199</v>
      </c>
      <c r="AC50" s="17">
        <v>9.1879134097155493E-2</v>
      </c>
      <c r="AD50" s="17">
        <v>3.31449065614871E-4</v>
      </c>
      <c r="AF50" s="28" t="s">
        <v>561</v>
      </c>
      <c r="AG50" s="14">
        <f t="shared" si="3"/>
        <v>0.24982886683451852</v>
      </c>
      <c r="AH50" s="14">
        <f t="shared" si="4"/>
        <v>1.8835577663560713E-2</v>
      </c>
      <c r="AI50" s="14">
        <v>7.7509999999999996E-2</v>
      </c>
      <c r="AJ50" s="14">
        <f t="shared" si="5"/>
        <v>6.6289813122974201E-4</v>
      </c>
      <c r="AL50" s="29" t="s">
        <v>676</v>
      </c>
      <c r="AM50" s="19">
        <v>4.3340701252546268</v>
      </c>
      <c r="AN50">
        <v>8.6782836989885898E-2</v>
      </c>
      <c r="AO50" s="20">
        <v>8.4930000000000005E-2</v>
      </c>
      <c r="AP50">
        <v>1.8799999999999995E-3</v>
      </c>
      <c r="AR50" s="31" t="s">
        <v>772</v>
      </c>
      <c r="AS50">
        <v>5.0431789831091098</v>
      </c>
      <c r="AT50">
        <v>8.3763994071391304E-2</v>
      </c>
      <c r="AU50">
        <v>7.8071702167042803E-2</v>
      </c>
      <c r="AV50">
        <v>5.2506545265122598E-4</v>
      </c>
      <c r="AX50" s="31" t="s">
        <v>910</v>
      </c>
      <c r="AY50">
        <v>3.8433981108466502</v>
      </c>
      <c r="AZ50">
        <v>7.7574129486133597E-2</v>
      </c>
      <c r="BA50">
        <v>9.3211213597959405E-2</v>
      </c>
      <c r="BB50">
        <v>6.9154291906410299E-4</v>
      </c>
      <c r="BD50" s="31" t="s">
        <v>1059</v>
      </c>
      <c r="BE50">
        <v>3.5901660064877401</v>
      </c>
      <c r="BF50">
        <v>3.93803834314757E-2</v>
      </c>
      <c r="BG50">
        <v>9.8950988014526606E-2</v>
      </c>
      <c r="BH50">
        <v>5.4690363169756205E-4</v>
      </c>
    </row>
    <row r="51" spans="1:60" x14ac:dyDescent="0.25">
      <c r="A51" s="9" t="s">
        <v>146</v>
      </c>
      <c r="B51" s="2">
        <v>5.5267091068561198</v>
      </c>
      <c r="C51" s="2">
        <v>0.20680411473492499</v>
      </c>
      <c r="D51" s="2">
        <v>7.5180127710481506E-2</v>
      </c>
      <c r="E51" s="2">
        <v>2.98974922743157E-3</v>
      </c>
      <c r="F51" s="2"/>
      <c r="M51" s="9" t="s">
        <v>273</v>
      </c>
      <c r="N51" s="2">
        <v>4.0936174426192098</v>
      </c>
      <c r="O51" s="2">
        <v>0.107116921322937</v>
      </c>
      <c r="P51" s="2">
        <v>8.9138916589532893E-2</v>
      </c>
      <c r="Q51" s="2">
        <v>3.4467706413727601E-3</v>
      </c>
      <c r="R51" s="2"/>
      <c r="S51" s="7" t="s">
        <v>60</v>
      </c>
      <c r="T51" s="8">
        <v>4.3495280762037316</v>
      </c>
      <c r="U51" s="4">
        <v>0.13696917607635603</v>
      </c>
      <c r="V51" s="4">
        <v>8.7429999999999994E-2</v>
      </c>
      <c r="W51" s="4">
        <v>1.9599999999999999E-3</v>
      </c>
      <c r="X51" s="4">
        <v>0.81399999999999995</v>
      </c>
      <c r="Z51" s="23" t="s">
        <v>443</v>
      </c>
      <c r="AA51" s="17">
        <v>3.9068116095232601</v>
      </c>
      <c r="AB51" s="17">
        <v>7.6206712387382802E-2</v>
      </c>
      <c r="AC51" s="17">
        <v>9.1628340458704605E-2</v>
      </c>
      <c r="AD51" s="17">
        <v>5.7749247444960198E-4</v>
      </c>
      <c r="AF51" s="28" t="s">
        <v>562</v>
      </c>
      <c r="AG51" s="14">
        <f t="shared" si="3"/>
        <v>0.25596319964914505</v>
      </c>
      <c r="AH51" s="14">
        <f t="shared" si="4"/>
        <v>9.9856946722838933E-3</v>
      </c>
      <c r="AI51" s="14">
        <v>7.6660000000000006E-2</v>
      </c>
      <c r="AJ51" s="14">
        <f t="shared" si="5"/>
        <v>1.154984948899204E-3</v>
      </c>
      <c r="AL51" s="29" t="s">
        <v>677</v>
      </c>
      <c r="AM51" s="19">
        <v>4.862394242925216</v>
      </c>
      <c r="AN51">
        <v>9.6935798871892381E-2</v>
      </c>
      <c r="AO51" s="20">
        <v>8.1299999999999997E-2</v>
      </c>
      <c r="AP51">
        <v>1.74E-3</v>
      </c>
      <c r="AR51" s="31" t="s">
        <v>773</v>
      </c>
      <c r="AS51">
        <v>5.1043860295215397</v>
      </c>
      <c r="AT51">
        <v>3.7984938315506103E-2</v>
      </c>
      <c r="AU51">
        <v>7.7969486539889402E-2</v>
      </c>
      <c r="AV51">
        <v>4.4396753850834401E-4</v>
      </c>
      <c r="AX51" s="31" t="s">
        <v>911</v>
      </c>
      <c r="AY51">
        <v>4.05717493611664</v>
      </c>
      <c r="AZ51">
        <v>5.6444133443742002E-2</v>
      </c>
      <c r="BA51">
        <v>9.2636702013663794E-2</v>
      </c>
      <c r="BB51">
        <v>9.25998041101565E-4</v>
      </c>
      <c r="BD51" s="31" t="s">
        <v>1060</v>
      </c>
      <c r="BE51">
        <v>3.5711308705945002</v>
      </c>
      <c r="BF51">
        <v>6.7445213441161903E-2</v>
      </c>
      <c r="BG51">
        <v>9.8628890564376098E-2</v>
      </c>
      <c r="BH51">
        <v>3.8143362153727898E-4</v>
      </c>
    </row>
    <row r="52" spans="1:60" x14ac:dyDescent="0.25">
      <c r="A52" s="9" t="s">
        <v>147</v>
      </c>
      <c r="B52" s="2">
        <v>5.2691714887858501</v>
      </c>
      <c r="C52" s="2">
        <v>0.17505365005902701</v>
      </c>
      <c r="D52" s="2">
        <v>7.6909620540929202E-2</v>
      </c>
      <c r="E52" s="2">
        <v>3.1056807916556E-3</v>
      </c>
      <c r="F52" s="2"/>
      <c r="M52" s="9" t="s">
        <v>274</v>
      </c>
      <c r="N52" s="2">
        <v>2.1128035435410202</v>
      </c>
      <c r="O52" s="2">
        <v>4.9248808379707298E-2</v>
      </c>
      <c r="P52" s="2">
        <v>0.159269183883474</v>
      </c>
      <c r="Q52" s="2">
        <v>6.1293475336741702E-3</v>
      </c>
      <c r="R52" s="2"/>
      <c r="S52" s="7" t="s">
        <v>61</v>
      </c>
      <c r="T52" s="8">
        <v>4.5693397304089558</v>
      </c>
      <c r="U52" s="4">
        <v>0.13613020352874752</v>
      </c>
      <c r="V52" s="4">
        <v>8.5809999999999997E-2</v>
      </c>
      <c r="W52" s="4">
        <v>2.1199999999999999E-3</v>
      </c>
      <c r="X52" s="4">
        <v>0.76800000000000002</v>
      </c>
      <c r="Z52" s="23" t="s">
        <v>444</v>
      </c>
      <c r="AA52" s="17">
        <v>4.1026103634035396</v>
      </c>
      <c r="AB52" s="17">
        <v>0.12388526392919599</v>
      </c>
      <c r="AC52" s="17">
        <v>9.0521388419071994E-2</v>
      </c>
      <c r="AD52" s="17">
        <v>3.4057035265622302E-4</v>
      </c>
      <c r="AF52" s="28" t="s">
        <v>563</v>
      </c>
      <c r="AG52" s="14">
        <f t="shared" si="3"/>
        <v>0.24374725148658685</v>
      </c>
      <c r="AH52" s="14">
        <f t="shared" si="4"/>
        <v>1.4720721641906369E-2</v>
      </c>
      <c r="AI52" s="14">
        <v>7.6520000000000005E-2</v>
      </c>
      <c r="AJ52" s="14">
        <f t="shared" si="5"/>
        <v>6.8114070531244604E-4</v>
      </c>
      <c r="AL52" s="29" t="s">
        <v>678</v>
      </c>
      <c r="AM52" s="19">
        <v>5.2015604681404417</v>
      </c>
      <c r="AN52">
        <v>0.10984829909310895</v>
      </c>
      <c r="AO52" s="20">
        <v>7.9269999999999993E-2</v>
      </c>
      <c r="AP52">
        <v>2.3999999999999998E-3</v>
      </c>
      <c r="AR52" s="31" t="s">
        <v>774</v>
      </c>
      <c r="AS52">
        <v>4.8163442713361899</v>
      </c>
      <c r="AT52">
        <v>7.3919692909566806E-2</v>
      </c>
      <c r="AU52">
        <v>7.7871102265377495E-2</v>
      </c>
      <c r="AV52">
        <v>4.11366166048881E-4</v>
      </c>
      <c r="AX52" s="31" t="s">
        <v>912</v>
      </c>
      <c r="AY52">
        <v>3.9189883306839501</v>
      </c>
      <c r="AZ52">
        <v>4.21331606114215E-2</v>
      </c>
      <c r="BA52">
        <v>9.1301819232146905E-2</v>
      </c>
      <c r="BB52">
        <v>8.4465431883891395E-4</v>
      </c>
      <c r="BD52" s="31" t="s">
        <v>1061</v>
      </c>
      <c r="BE52">
        <v>3.2894247339204199</v>
      </c>
      <c r="BF52">
        <v>6.4915779487306702E-2</v>
      </c>
      <c r="BG52">
        <v>9.8562435689893493E-2</v>
      </c>
      <c r="BH52">
        <v>5.2573789793667898E-4</v>
      </c>
    </row>
    <row r="53" spans="1:60" x14ac:dyDescent="0.25">
      <c r="A53" s="9" t="s">
        <v>148</v>
      </c>
      <c r="B53" s="2">
        <v>1.9380850649422201</v>
      </c>
      <c r="C53" s="2">
        <v>7.2727327418509999E-2</v>
      </c>
      <c r="D53" s="2">
        <v>0.18208298972651299</v>
      </c>
      <c r="E53" s="2">
        <v>5.8526624303471397E-3</v>
      </c>
      <c r="F53" s="2"/>
      <c r="M53" s="9" t="s">
        <v>275</v>
      </c>
      <c r="N53" s="2">
        <v>3.3656686317789002</v>
      </c>
      <c r="O53" s="2">
        <v>9.8395993109424096E-2</v>
      </c>
      <c r="P53" s="2">
        <v>0.101036551206972</v>
      </c>
      <c r="Q53" s="2">
        <v>4.4508504576899503E-3</v>
      </c>
      <c r="R53" s="2"/>
      <c r="S53" s="7" t="s">
        <v>62</v>
      </c>
      <c r="T53" s="8">
        <v>4.3320048518454346</v>
      </c>
      <c r="U53" s="4">
        <v>0.14637687508401659</v>
      </c>
      <c r="V53" s="4">
        <v>8.5300000000000001E-2</v>
      </c>
      <c r="W53" s="4">
        <v>1.98E-3</v>
      </c>
      <c r="X53" s="4">
        <v>0.82299999999999995</v>
      </c>
      <c r="Z53" s="23" t="s">
        <v>445</v>
      </c>
      <c r="AA53" s="17">
        <v>3.9658509870946999</v>
      </c>
      <c r="AB53" s="17">
        <v>7.8642010294742604E-2</v>
      </c>
      <c r="AC53" s="17">
        <v>9.0324631562993904E-2</v>
      </c>
      <c r="AD53" s="17">
        <v>7.0750783912846801E-4</v>
      </c>
      <c r="AF53" s="28" t="s">
        <v>564</v>
      </c>
      <c r="AG53" s="14">
        <f t="shared" si="3"/>
        <v>0.25215269137799329</v>
      </c>
      <c r="AH53" s="14">
        <f t="shared" si="4"/>
        <v>1.0000272131113076E-2</v>
      </c>
      <c r="AI53" s="14">
        <v>7.6179999999999998E-2</v>
      </c>
      <c r="AJ53" s="14">
        <f t="shared" si="5"/>
        <v>1.415015678256936E-3</v>
      </c>
      <c r="AL53" s="29" t="s">
        <v>679</v>
      </c>
      <c r="AM53" s="19">
        <v>5.0271465915946107</v>
      </c>
      <c r="AN53">
        <v>9.9572479242322362E-2</v>
      </c>
      <c r="AO53" s="20">
        <v>7.9030000000000003E-2</v>
      </c>
      <c r="AP53">
        <v>1.7600000000000001E-3</v>
      </c>
      <c r="AR53" s="31" t="s">
        <v>775</v>
      </c>
      <c r="AS53">
        <v>5.0549493884286596</v>
      </c>
      <c r="AT53">
        <v>8.46925207308699E-2</v>
      </c>
      <c r="AU53">
        <v>7.7786631231667694E-2</v>
      </c>
      <c r="AV53">
        <v>4.2467561940689498E-4</v>
      </c>
      <c r="AX53" s="31" t="s">
        <v>913</v>
      </c>
      <c r="AY53">
        <v>4.1422582535527201</v>
      </c>
      <c r="AZ53">
        <v>4.8752334858806999E-2</v>
      </c>
      <c r="BA53">
        <v>9.1216345750322197E-2</v>
      </c>
      <c r="BB53">
        <v>9.18664162315927E-4</v>
      </c>
      <c r="BD53" s="31" t="s">
        <v>1062</v>
      </c>
      <c r="BE53">
        <v>3.53628506715186</v>
      </c>
      <c r="BF53">
        <v>5.8213586159786203E-2</v>
      </c>
      <c r="BG53">
        <v>9.8381228867417306E-2</v>
      </c>
      <c r="BH53">
        <v>4.4090231556233799E-4</v>
      </c>
    </row>
    <row r="54" spans="1:60" x14ac:dyDescent="0.25">
      <c r="A54" s="9" t="s">
        <v>149</v>
      </c>
      <c r="B54" s="2">
        <v>5.0157757767093996</v>
      </c>
      <c r="C54" s="2">
        <v>0.17172802799888301</v>
      </c>
      <c r="D54" s="2">
        <v>7.8656884747305603E-2</v>
      </c>
      <c r="E54" s="2">
        <v>2.56843055395328E-3</v>
      </c>
      <c r="F54" s="2"/>
      <c r="M54" s="9" t="s">
        <v>276</v>
      </c>
      <c r="N54" s="2">
        <v>3.8819661983927101</v>
      </c>
      <c r="O54" s="2">
        <v>0.161717901360594</v>
      </c>
      <c r="P54" s="2">
        <v>9.0488082932419597E-2</v>
      </c>
      <c r="Q54" s="2">
        <v>3.5864720518835199E-3</v>
      </c>
      <c r="R54" s="2"/>
      <c r="S54" s="7" t="s">
        <v>63</v>
      </c>
      <c r="T54" s="8">
        <v>4.5884188308708822</v>
      </c>
      <c r="U54" s="4">
        <v>0.13390081565723966</v>
      </c>
      <c r="V54" s="4">
        <v>8.4720000000000004E-2</v>
      </c>
      <c r="W54" s="4">
        <v>2.0600000000000002E-3</v>
      </c>
      <c r="X54" s="4">
        <v>0.76900000000000002</v>
      </c>
      <c r="Z54" s="23" t="s">
        <v>446</v>
      </c>
      <c r="AA54" s="17">
        <v>4.2526664948416197</v>
      </c>
      <c r="AB54" s="17">
        <v>0.16107722024437199</v>
      </c>
      <c r="AC54" s="17">
        <v>8.7618354168517196E-2</v>
      </c>
      <c r="AD54" s="17">
        <v>2.58425119968457E-4</v>
      </c>
      <c r="AF54" s="28" t="s">
        <v>565</v>
      </c>
      <c r="AG54" s="14">
        <f t="shared" si="3"/>
        <v>0.23514658419910789</v>
      </c>
      <c r="AH54" s="14">
        <f t="shared" si="4"/>
        <v>1.7813180590904573E-2</v>
      </c>
      <c r="AI54" s="14">
        <v>7.5579999999999994E-2</v>
      </c>
      <c r="AJ54" s="14">
        <f t="shared" si="5"/>
        <v>5.1685023993691399E-4</v>
      </c>
      <c r="AL54" s="29" t="s">
        <v>680</v>
      </c>
      <c r="AM54" s="19">
        <v>5.0372758412250658</v>
      </c>
      <c r="AN54">
        <v>0.10454148935042955</v>
      </c>
      <c r="AO54" s="20">
        <v>7.8829999999999997E-2</v>
      </c>
      <c r="AP54">
        <v>2.3E-3</v>
      </c>
      <c r="AR54" s="31" t="s">
        <v>776</v>
      </c>
      <c r="AS54">
        <v>5.1295014351238502</v>
      </c>
      <c r="AT54">
        <v>7.1587119667063201E-2</v>
      </c>
      <c r="AU54">
        <v>7.7701959058119094E-2</v>
      </c>
      <c r="AV54">
        <v>2.6905615013837801E-4</v>
      </c>
      <c r="AX54" s="31" t="s">
        <v>914</v>
      </c>
      <c r="AY54">
        <v>4.1041669187652996</v>
      </c>
      <c r="AZ54">
        <v>4.0886169422286997E-2</v>
      </c>
      <c r="BA54">
        <v>9.0912503960066296E-2</v>
      </c>
      <c r="BB54">
        <v>5.5526142147686603E-4</v>
      </c>
      <c r="BD54" s="31" t="s">
        <v>1063</v>
      </c>
      <c r="BE54">
        <v>3.48658623796933</v>
      </c>
      <c r="BF54">
        <v>7.2277722489959603E-2</v>
      </c>
      <c r="BG54">
        <v>9.8406666135735399E-2</v>
      </c>
      <c r="BH54">
        <v>7.3990920531813095E-4</v>
      </c>
    </row>
    <row r="55" spans="1:60" x14ac:dyDescent="0.25">
      <c r="A55" s="9" t="s">
        <v>150</v>
      </c>
      <c r="B55" s="2">
        <v>5.1842904808607901</v>
      </c>
      <c r="C55" s="2">
        <v>0.15630493856821401</v>
      </c>
      <c r="D55" s="2">
        <v>7.7766501448417596E-2</v>
      </c>
      <c r="E55" s="2">
        <v>2.9051920083004701E-3</v>
      </c>
      <c r="F55" s="2"/>
      <c r="M55" s="9" t="s">
        <v>277</v>
      </c>
      <c r="N55" s="2">
        <v>3.5718275936919199</v>
      </c>
      <c r="O55" s="2">
        <v>0.12795596728615499</v>
      </c>
      <c r="P55" s="2">
        <v>0.102414288702644</v>
      </c>
      <c r="Q55" s="2">
        <v>7.0036486142970701E-3</v>
      </c>
      <c r="R55" s="2"/>
      <c r="S55" s="7" t="s">
        <v>64</v>
      </c>
      <c r="T55" s="8">
        <v>4.5791739170253685</v>
      </c>
      <c r="U55" s="4">
        <v>0.13210365270290239</v>
      </c>
      <c r="V55" s="4">
        <v>8.4370000000000001E-2</v>
      </c>
      <c r="W55" s="4">
        <v>2.2399999999999998E-3</v>
      </c>
      <c r="X55" s="4">
        <v>0.73499999999999999</v>
      </c>
      <c r="Z55" s="23" t="s">
        <v>447</v>
      </c>
      <c r="AA55" s="17">
        <v>4.3924880444534997</v>
      </c>
      <c r="AB55" s="17">
        <v>0.16793716035734901</v>
      </c>
      <c r="AC55" s="17">
        <v>8.7342623401662198E-2</v>
      </c>
      <c r="AD55" s="17">
        <v>3.3499000043883198E-4</v>
      </c>
      <c r="AF55" s="28" t="s">
        <v>566</v>
      </c>
      <c r="AG55" s="14">
        <f t="shared" si="3"/>
        <v>0.22766140508059529</v>
      </c>
      <c r="AH55" s="14">
        <f t="shared" si="4"/>
        <v>1.7408270440474761E-2</v>
      </c>
      <c r="AI55" s="14">
        <v>7.5380000000000003E-2</v>
      </c>
      <c r="AJ55" s="14">
        <f t="shared" si="5"/>
        <v>6.6998000087766397E-4</v>
      </c>
      <c r="AL55" s="29" t="s">
        <v>681</v>
      </c>
      <c r="AM55" s="19">
        <v>5.0625221485343994</v>
      </c>
      <c r="AN55">
        <v>0.1004661915772533</v>
      </c>
      <c r="AO55" s="20">
        <v>7.8619999999999995E-2</v>
      </c>
      <c r="AP55">
        <v>1.8400000000000001E-3</v>
      </c>
      <c r="AR55" s="31" t="s">
        <v>777</v>
      </c>
      <c r="AS55">
        <v>5.2213437045935498</v>
      </c>
      <c r="AT55">
        <v>7.3009823670556806E-2</v>
      </c>
      <c r="AU55">
        <v>7.7660916680532294E-2</v>
      </c>
      <c r="AV55">
        <v>3.91235245759803E-4</v>
      </c>
      <c r="AX55" s="31" t="s">
        <v>915</v>
      </c>
      <c r="AY55">
        <v>4.0237192195695197</v>
      </c>
      <c r="AZ55">
        <v>3.6833564931939101E-2</v>
      </c>
      <c r="BA55">
        <v>9.08279072173859E-2</v>
      </c>
      <c r="BB55">
        <v>7.8481259563218102E-4</v>
      </c>
      <c r="BD55" s="31" t="s">
        <v>1064</v>
      </c>
      <c r="BE55">
        <v>3.5662162292121602</v>
      </c>
      <c r="BF55">
        <v>6.8608546939738696E-2</v>
      </c>
      <c r="BG55">
        <v>9.8141799255467704E-2</v>
      </c>
      <c r="BH55">
        <v>7.3082339884888699E-4</v>
      </c>
    </row>
    <row r="56" spans="1:60" x14ac:dyDescent="0.25">
      <c r="A56" s="9" t="s">
        <v>151</v>
      </c>
      <c r="B56" s="2">
        <v>3.3954536535355402</v>
      </c>
      <c r="C56" s="2">
        <v>0.100761900822883</v>
      </c>
      <c r="D56" s="2">
        <v>0.101143241370036</v>
      </c>
      <c r="E56" s="2">
        <v>2.7196133667424E-3</v>
      </c>
      <c r="F56" s="2"/>
      <c r="M56" s="9" t="s">
        <v>278</v>
      </c>
      <c r="N56" s="2">
        <v>3.9540864119888099</v>
      </c>
      <c r="O56" s="2">
        <v>0.12071684873145901</v>
      </c>
      <c r="P56" s="2">
        <v>9.2772500983871506E-2</v>
      </c>
      <c r="Q56" s="2">
        <v>6.3818032425008E-3</v>
      </c>
      <c r="R56" s="2"/>
      <c r="S56" s="7" t="s">
        <v>65</v>
      </c>
      <c r="T56" s="8">
        <v>5.00776203114828</v>
      </c>
      <c r="U56" s="4">
        <v>0.14244122558426675</v>
      </c>
      <c r="V56" s="4">
        <v>7.9810000000000006E-2</v>
      </c>
      <c r="W56" s="4">
        <v>2.0200000000000001E-3</v>
      </c>
      <c r="X56" s="4">
        <v>0.747</v>
      </c>
      <c r="Z56" s="23" t="s">
        <v>448</v>
      </c>
      <c r="AA56" s="17">
        <v>4.5735972938890601</v>
      </c>
      <c r="AB56" s="17">
        <v>0.16511075793552499</v>
      </c>
      <c r="AC56" s="17">
        <v>8.5909133906219695E-2</v>
      </c>
      <c r="AD56" s="17">
        <v>4.1536914700317402E-4</v>
      </c>
      <c r="AF56" s="28" t="s">
        <v>567</v>
      </c>
      <c r="AG56" s="14">
        <f t="shared" si="3"/>
        <v>0.21864627245081988</v>
      </c>
      <c r="AH56" s="14">
        <f t="shared" si="4"/>
        <v>1.5786633341054207E-2</v>
      </c>
      <c r="AI56" s="14">
        <v>7.5200000000000003E-2</v>
      </c>
      <c r="AJ56" s="14">
        <f t="shared" si="5"/>
        <v>8.3073829400634805E-4</v>
      </c>
      <c r="AL56" s="29" t="s">
        <v>682</v>
      </c>
      <c r="AM56" s="19">
        <v>5.3381732771045751</v>
      </c>
      <c r="AN56">
        <v>0.10942500071575065</v>
      </c>
      <c r="AO56" s="20">
        <v>7.8350000000000003E-2</v>
      </c>
      <c r="AP56">
        <v>2E-3</v>
      </c>
      <c r="AR56" s="31" t="s">
        <v>778</v>
      </c>
      <c r="AS56">
        <v>5.15323035107554</v>
      </c>
      <c r="AT56">
        <v>4.0932338893124302E-2</v>
      </c>
      <c r="AU56">
        <v>7.7645120840576995E-2</v>
      </c>
      <c r="AV56">
        <v>4.7151200832064999E-4</v>
      </c>
      <c r="AX56" s="31" t="s">
        <v>916</v>
      </c>
      <c r="AY56">
        <v>4.1347812442761196</v>
      </c>
      <c r="AZ56">
        <v>8.0311839950708203E-2</v>
      </c>
      <c r="BA56">
        <v>8.9428024878995399E-2</v>
      </c>
      <c r="BB56">
        <v>6.76126172336665E-4</v>
      </c>
      <c r="BD56" s="31" t="s">
        <v>1065</v>
      </c>
      <c r="BE56">
        <v>3.7133496306438198</v>
      </c>
      <c r="BF56">
        <v>6.2031750827596301E-2</v>
      </c>
      <c r="BG56">
        <v>9.7421984957672195E-2</v>
      </c>
      <c r="BH56">
        <v>3.1925636827903901E-4</v>
      </c>
    </row>
    <row r="57" spans="1:60" x14ac:dyDescent="0.25">
      <c r="A57" s="9" t="s">
        <v>152</v>
      </c>
      <c r="B57" s="2">
        <v>6.3022002693139001</v>
      </c>
      <c r="C57" s="2">
        <v>0.187572071907503</v>
      </c>
      <c r="D57" s="2">
        <v>7.1848970396515999E-2</v>
      </c>
      <c r="E57" s="2">
        <v>3.4603178203112101E-3</v>
      </c>
      <c r="F57" s="2"/>
      <c r="M57" s="9" t="s">
        <v>279</v>
      </c>
      <c r="N57" s="2">
        <v>1.62090938960278</v>
      </c>
      <c r="O57" s="2">
        <v>4.2628554775117199E-2</v>
      </c>
      <c r="P57" s="2">
        <v>0.23659747786243099</v>
      </c>
      <c r="Q57" s="2">
        <v>9.8379823746078694E-3</v>
      </c>
      <c r="R57" s="2"/>
      <c r="S57" s="7" t="s">
        <v>66</v>
      </c>
      <c r="T57" s="8">
        <v>5.0238633509168551</v>
      </c>
      <c r="U57" s="4">
        <v>0.19484664691825232</v>
      </c>
      <c r="V57" s="4">
        <v>7.9450000000000007E-2</v>
      </c>
      <c r="W57" s="4">
        <v>2.0600000000000002E-3</v>
      </c>
      <c r="X57" s="4">
        <v>0.83199999999999996</v>
      </c>
      <c r="Z57" s="23" t="s">
        <v>449</v>
      </c>
      <c r="AA57" s="17">
        <v>4.4243731009148304</v>
      </c>
      <c r="AB57" s="17">
        <v>0.16554954576568101</v>
      </c>
      <c r="AC57" s="17">
        <v>8.5749490020871205E-2</v>
      </c>
      <c r="AD57" s="17">
        <v>3.8829515251969499E-4</v>
      </c>
      <c r="AF57" s="28" t="s">
        <v>568</v>
      </c>
      <c r="AG57" s="14">
        <f t="shared" si="3"/>
        <v>0.22602072139739512</v>
      </c>
      <c r="AH57" s="14">
        <f t="shared" si="4"/>
        <v>1.6914318439027413E-2</v>
      </c>
      <c r="AI57" s="14">
        <v>7.5149999999999995E-2</v>
      </c>
      <c r="AJ57" s="14">
        <f t="shared" si="5"/>
        <v>7.7659030503938998E-4</v>
      </c>
      <c r="AL57" s="29" t="s">
        <v>683</v>
      </c>
      <c r="AM57" s="19">
        <v>5.0882816872742076</v>
      </c>
      <c r="AN57">
        <v>0.10252681769503824</v>
      </c>
      <c r="AO57" s="20">
        <v>7.7640000000000001E-2</v>
      </c>
      <c r="AP57">
        <v>1.82E-3</v>
      </c>
      <c r="AR57" s="31" t="s">
        <v>779</v>
      </c>
      <c r="AS57">
        <v>5.1070403407688501</v>
      </c>
      <c r="AT57">
        <v>7.7667581225877205E-2</v>
      </c>
      <c r="AU57">
        <v>7.7634755557801499E-2</v>
      </c>
      <c r="AV57">
        <v>4.29654178197167E-4</v>
      </c>
      <c r="AX57" s="31" t="s">
        <v>917</v>
      </c>
      <c r="AY57">
        <v>4.3318555127542799</v>
      </c>
      <c r="AZ57">
        <v>4.6662179188621901E-2</v>
      </c>
      <c r="BA57">
        <v>8.8133021299811196E-2</v>
      </c>
      <c r="BB57">
        <v>8.7807850942977497E-4</v>
      </c>
      <c r="BD57" s="31" t="s">
        <v>1066</v>
      </c>
      <c r="BE57">
        <v>3.6471425611408801</v>
      </c>
      <c r="BF57">
        <v>9.8606652416276405E-2</v>
      </c>
      <c r="BG57">
        <v>9.7574556749486896E-2</v>
      </c>
      <c r="BH57">
        <v>1.34776245334455E-3</v>
      </c>
    </row>
    <row r="58" spans="1:60" x14ac:dyDescent="0.25">
      <c r="A58" s="9" t="s">
        <v>153</v>
      </c>
      <c r="B58" s="2">
        <v>3.8117713513184301</v>
      </c>
      <c r="C58" s="2">
        <v>0.135241991732831</v>
      </c>
      <c r="D58" s="2">
        <v>9.3841707919248105E-2</v>
      </c>
      <c r="E58" s="2">
        <v>3.5214336428357499E-3</v>
      </c>
      <c r="F58" s="2"/>
      <c r="M58" s="9" t="s">
        <v>280</v>
      </c>
      <c r="N58" s="2">
        <v>5.9569697166800397</v>
      </c>
      <c r="O58" s="2">
        <v>0.24864542298079401</v>
      </c>
      <c r="P58" s="2">
        <v>7.3393177977756699E-2</v>
      </c>
      <c r="Q58" s="2">
        <v>5.8982196883350501E-3</v>
      </c>
      <c r="R58" s="2"/>
      <c r="S58" s="7" t="s">
        <v>67</v>
      </c>
      <c r="T58" s="8">
        <v>5.1719679337988103</v>
      </c>
      <c r="U58" s="4">
        <v>0.14070106714135891</v>
      </c>
      <c r="V58" s="4">
        <v>7.9329999999999998E-2</v>
      </c>
      <c r="W58" s="4">
        <v>2.0799999999999998E-3</v>
      </c>
      <c r="X58" s="4">
        <v>0.71899999999999997</v>
      </c>
      <c r="Z58" s="23" t="s">
        <v>450</v>
      </c>
      <c r="AA58" s="17">
        <v>4.5804216088607896</v>
      </c>
      <c r="AB58" s="17">
        <v>0.17437871790985501</v>
      </c>
      <c r="AC58" s="17">
        <v>8.4010629951161306E-2</v>
      </c>
      <c r="AD58" s="17">
        <v>3.36816502658947E-4</v>
      </c>
      <c r="AF58" s="28" t="s">
        <v>569</v>
      </c>
      <c r="AG58" s="14">
        <f t="shared" si="3"/>
        <v>0.21832051400366898</v>
      </c>
      <c r="AH58" s="14">
        <f t="shared" si="4"/>
        <v>1.6623121003417392E-2</v>
      </c>
      <c r="AI58" s="14">
        <v>7.4539999999999995E-2</v>
      </c>
      <c r="AJ58" s="14">
        <f t="shared" si="5"/>
        <v>6.73633005317894E-4</v>
      </c>
      <c r="AL58" s="29" t="s">
        <v>684</v>
      </c>
      <c r="AM58" s="19">
        <v>5.226025607525477</v>
      </c>
      <c r="AN58">
        <v>0.10269065212592522</v>
      </c>
      <c r="AO58" s="20">
        <v>7.757E-2</v>
      </c>
      <c r="AP58">
        <v>1.7199999999999997E-3</v>
      </c>
      <c r="AR58" s="31" t="s">
        <v>780</v>
      </c>
      <c r="AS58">
        <v>5.1996973091346499</v>
      </c>
      <c r="AT58">
        <v>7.3874292581193698E-2</v>
      </c>
      <c r="AU58">
        <v>7.7570359893774005E-2</v>
      </c>
      <c r="AV58">
        <v>3.9503869775934098E-4</v>
      </c>
      <c r="AX58" s="31" t="s">
        <v>918</v>
      </c>
      <c r="AY58">
        <v>4.1996511157039897</v>
      </c>
      <c r="AZ58">
        <v>3.93947593230312E-2</v>
      </c>
      <c r="BA58">
        <v>8.7918380852218106E-2</v>
      </c>
      <c r="BB58">
        <v>4.6782522122143798E-4</v>
      </c>
      <c r="BD58" s="31" t="s">
        <v>1067</v>
      </c>
      <c r="BE58">
        <v>3.7123030062637001</v>
      </c>
      <c r="BF58">
        <v>5.4251201584390403E-2</v>
      </c>
      <c r="BG58">
        <v>9.6796035174569695E-2</v>
      </c>
      <c r="BH58">
        <v>4.4041450614518498E-4</v>
      </c>
    </row>
    <row r="59" spans="1:60" x14ac:dyDescent="0.25">
      <c r="A59" s="9" t="s">
        <v>154</v>
      </c>
      <c r="B59" s="2">
        <v>4.3506817169170997</v>
      </c>
      <c r="C59" s="2">
        <v>0.16987638350225201</v>
      </c>
      <c r="D59" s="2">
        <v>8.6669408566683301E-2</v>
      </c>
      <c r="E59" s="2">
        <v>3.4204175331327999E-3</v>
      </c>
      <c r="F59" s="2"/>
      <c r="M59" s="9" t="s">
        <v>281</v>
      </c>
      <c r="N59" s="2">
        <v>5.6237335061960296</v>
      </c>
      <c r="O59" s="2">
        <v>0.22025179672822101</v>
      </c>
      <c r="P59" s="2">
        <v>7.4027032687180097E-2</v>
      </c>
      <c r="Q59" s="2">
        <v>3.8823148019114899E-3</v>
      </c>
      <c r="R59" s="2"/>
      <c r="S59" s="7" t="s">
        <v>68</v>
      </c>
      <c r="T59" s="8">
        <v>5.2048092437412175</v>
      </c>
      <c r="U59" s="4">
        <v>0.16037303244130538</v>
      </c>
      <c r="V59" s="4">
        <v>7.8609999999999999E-2</v>
      </c>
      <c r="W59" s="4">
        <v>1.6800000000000001E-3</v>
      </c>
      <c r="X59" s="4">
        <v>0.82199999999999995</v>
      </c>
      <c r="Z59" s="23" t="s">
        <v>451</v>
      </c>
      <c r="AA59" s="17">
        <v>4.4161521484068098</v>
      </c>
      <c r="AB59" s="17">
        <v>0.16925763348658199</v>
      </c>
      <c r="AC59" s="17">
        <v>8.3361392711510399E-2</v>
      </c>
      <c r="AD59" s="17">
        <v>5.8835697830807903E-4</v>
      </c>
      <c r="AF59" s="28" t="s">
        <v>570</v>
      </c>
      <c r="AG59" s="14">
        <f t="shared" si="3"/>
        <v>0.22644147357123198</v>
      </c>
      <c r="AH59" s="14">
        <f t="shared" si="4"/>
        <v>1.7357621137989155E-2</v>
      </c>
      <c r="AI59" s="14">
        <v>7.4510000000000007E-2</v>
      </c>
      <c r="AJ59" s="14">
        <f t="shared" si="5"/>
        <v>1.1767139566161581E-3</v>
      </c>
      <c r="AL59" s="29" t="s">
        <v>685</v>
      </c>
      <c r="AM59" s="19">
        <v>5.2812252442566674</v>
      </c>
      <c r="AN59">
        <v>0.11100753352068411</v>
      </c>
      <c r="AO59" s="20">
        <v>7.7420000000000003E-2</v>
      </c>
      <c r="AP59">
        <v>2.4599999999999999E-3</v>
      </c>
      <c r="AR59" s="31" t="s">
        <v>781</v>
      </c>
      <c r="AS59">
        <v>5.1232275556037399</v>
      </c>
      <c r="AT59">
        <v>7.7063633983579294E-2</v>
      </c>
      <c r="AU59">
        <v>7.7531785988923504E-2</v>
      </c>
      <c r="AV59">
        <v>3.3979838088838901E-4</v>
      </c>
      <c r="AX59" s="31" t="s">
        <v>919</v>
      </c>
      <c r="AY59">
        <v>4.2663205084168396</v>
      </c>
      <c r="AZ59">
        <v>4.6587413191605503E-2</v>
      </c>
      <c r="BA59">
        <v>8.76187614625379E-2</v>
      </c>
      <c r="BB59">
        <v>8.3672611602402403E-4</v>
      </c>
      <c r="BD59" s="31" t="s">
        <v>1068</v>
      </c>
      <c r="BE59">
        <v>3.6966826516458302</v>
      </c>
      <c r="BF59">
        <v>6.0216095257537801E-2</v>
      </c>
      <c r="BG59">
        <v>9.6611280612867403E-2</v>
      </c>
      <c r="BH59">
        <v>3.09601059253639E-4</v>
      </c>
    </row>
    <row r="60" spans="1:60" x14ac:dyDescent="0.25">
      <c r="A60" s="9" t="s">
        <v>155</v>
      </c>
      <c r="B60" s="2">
        <v>4.6972056935261497</v>
      </c>
      <c r="C60" s="2">
        <v>0.16453084736287699</v>
      </c>
      <c r="D60" s="2">
        <v>8.0699846522635496E-2</v>
      </c>
      <c r="E60" s="2">
        <v>2.8866535572827298E-3</v>
      </c>
      <c r="F60" s="2"/>
      <c r="M60" s="9" t="s">
        <v>282</v>
      </c>
      <c r="N60" s="2">
        <v>5.7656596744595703</v>
      </c>
      <c r="O60" s="2">
        <v>0.172504054998775</v>
      </c>
      <c r="P60" s="2">
        <v>7.3007564085260601E-2</v>
      </c>
      <c r="Q60" s="2">
        <v>3.1434345142950901E-3</v>
      </c>
      <c r="R60" s="2"/>
      <c r="S60" s="7" t="s">
        <v>69</v>
      </c>
      <c r="T60" s="8">
        <v>4.9212598425196852</v>
      </c>
      <c r="U60" s="4">
        <v>0.14385966271932543</v>
      </c>
      <c r="V60" s="4">
        <v>7.8119999999999995E-2</v>
      </c>
      <c r="W60" s="4">
        <v>2.4599999999999999E-3</v>
      </c>
      <c r="X60" s="4">
        <v>0.68</v>
      </c>
      <c r="Z60" s="23" t="s">
        <v>452</v>
      </c>
      <c r="AA60" s="17">
        <v>4.6715485102296199</v>
      </c>
      <c r="AB60" s="17">
        <v>0.14412809781161701</v>
      </c>
      <c r="AC60" s="17">
        <v>8.2372347466044701E-2</v>
      </c>
      <c r="AD60" s="17">
        <v>3.8708057484595202E-4</v>
      </c>
      <c r="AF60" s="28" t="s">
        <v>571</v>
      </c>
      <c r="AG60" s="14">
        <f t="shared" si="3"/>
        <v>0.21406178225704589</v>
      </c>
      <c r="AH60" s="14">
        <f t="shared" si="4"/>
        <v>1.3208604137712826E-2</v>
      </c>
      <c r="AI60" s="14">
        <v>7.4209999999999998E-2</v>
      </c>
      <c r="AJ60" s="14">
        <f t="shared" si="5"/>
        <v>7.7416114969190404E-4</v>
      </c>
      <c r="AL60" s="29" t="s">
        <v>686</v>
      </c>
      <c r="AM60" s="19">
        <v>5.4188793757450959</v>
      </c>
      <c r="AN60">
        <v>0.10806045357506207</v>
      </c>
      <c r="AO60" s="20">
        <v>7.739E-2</v>
      </c>
      <c r="AP60">
        <v>1.66E-3</v>
      </c>
      <c r="AR60" s="31" t="s">
        <v>782</v>
      </c>
      <c r="AS60">
        <v>5.3489370343552602</v>
      </c>
      <c r="AT60">
        <v>9.3414700654779304E-2</v>
      </c>
      <c r="AU60">
        <v>7.7560509284396104E-2</v>
      </c>
      <c r="AV60">
        <v>1.0311976713531701E-3</v>
      </c>
      <c r="AX60" s="31" t="s">
        <v>920</v>
      </c>
      <c r="AY60">
        <v>4.3075797908207401</v>
      </c>
      <c r="AZ60">
        <v>5.1747930129594E-2</v>
      </c>
      <c r="BA60">
        <v>8.67374098262126E-2</v>
      </c>
      <c r="BB60">
        <v>6.4144590326719599E-4</v>
      </c>
      <c r="BD60" s="31" t="s">
        <v>1069</v>
      </c>
      <c r="BE60">
        <v>3.6934156752483198</v>
      </c>
      <c r="BF60">
        <v>8.5000293018324402E-2</v>
      </c>
      <c r="BG60">
        <v>9.6631451340114402E-2</v>
      </c>
      <c r="BH60">
        <v>7.62985116828513E-4</v>
      </c>
    </row>
    <row r="61" spans="1:60" x14ac:dyDescent="0.25">
      <c r="A61" s="9" t="s">
        <v>156</v>
      </c>
      <c r="B61" s="2">
        <v>3.2748836395501302</v>
      </c>
      <c r="C61" s="2">
        <v>0.113186816733426</v>
      </c>
      <c r="D61" s="2">
        <v>0.105630710249541</v>
      </c>
      <c r="E61" s="2">
        <v>4.2749995158724297E-3</v>
      </c>
      <c r="F61" s="2"/>
      <c r="M61" s="9" t="s">
        <v>283</v>
      </c>
      <c r="N61" s="2">
        <v>4.0487860350083098</v>
      </c>
      <c r="O61" s="2">
        <v>0.11340725969422</v>
      </c>
      <c r="P61" s="2">
        <v>8.9840627765776504E-2</v>
      </c>
      <c r="Q61" s="2">
        <v>4.4115329850354101E-3</v>
      </c>
      <c r="R61" s="2"/>
      <c r="S61" s="7" t="s">
        <v>70</v>
      </c>
      <c r="T61" s="8">
        <v>5.4336013910019556</v>
      </c>
      <c r="U61" s="4">
        <v>0.15942973001201133</v>
      </c>
      <c r="V61" s="4">
        <v>7.7380000000000004E-2</v>
      </c>
      <c r="W61" s="4">
        <v>2.3800000000000002E-3</v>
      </c>
      <c r="X61" s="4">
        <v>0.69199999999999995</v>
      </c>
      <c r="Z61" s="23" t="s">
        <v>453</v>
      </c>
      <c r="AA61" s="17">
        <v>5.1663340863634497</v>
      </c>
      <c r="AB61" s="17">
        <v>0.19749613376695599</v>
      </c>
      <c r="AC61" s="17">
        <v>8.0867963185635494E-2</v>
      </c>
      <c r="AD61" s="17">
        <v>4.9639238616221702E-4</v>
      </c>
      <c r="AF61" s="28" t="s">
        <v>572</v>
      </c>
      <c r="AG61" s="14">
        <f t="shared" si="3"/>
        <v>0.19356084668227366</v>
      </c>
      <c r="AH61" s="14">
        <f t="shared" si="4"/>
        <v>1.4798701837463124E-2</v>
      </c>
      <c r="AI61" s="14">
        <v>7.4160000000000004E-2</v>
      </c>
      <c r="AJ61" s="14">
        <f t="shared" si="5"/>
        <v>9.9278477232443403E-4</v>
      </c>
      <c r="AL61" s="29" t="s">
        <v>687</v>
      </c>
      <c r="AM61" s="19">
        <v>5.082592121982211</v>
      </c>
      <c r="AN61">
        <v>0.10126435129946769</v>
      </c>
      <c r="AO61" s="20">
        <v>7.6960000000000001E-2</v>
      </c>
      <c r="AP61">
        <v>1.8799999999999999E-3</v>
      </c>
      <c r="AR61" s="31" t="s">
        <v>783</v>
      </c>
      <c r="AS61">
        <v>5.1052943573862599</v>
      </c>
      <c r="AT61">
        <v>4.6285858769365001E-2</v>
      </c>
      <c r="AU61">
        <v>7.7273971711854295E-2</v>
      </c>
      <c r="AV61">
        <v>4.4061697365044202E-4</v>
      </c>
      <c r="AX61" s="31" t="s">
        <v>921</v>
      </c>
      <c r="AY61">
        <v>4.4151651471740898</v>
      </c>
      <c r="AZ61">
        <v>3.3987789159991198E-2</v>
      </c>
      <c r="BA61">
        <v>8.6091184700584605E-2</v>
      </c>
      <c r="BB61">
        <v>7.4759016046308804E-4</v>
      </c>
      <c r="BD61" s="31" t="s">
        <v>1070</v>
      </c>
      <c r="BE61">
        <v>3.6045581552653898</v>
      </c>
      <c r="BF61">
        <v>5.6348782644784802E-2</v>
      </c>
      <c r="BG61">
        <v>9.6461459715466699E-2</v>
      </c>
      <c r="BH61">
        <v>3.9371159834211401E-4</v>
      </c>
    </row>
    <row r="62" spans="1:60" x14ac:dyDescent="0.25">
      <c r="A62" s="9" t="s">
        <v>157</v>
      </c>
      <c r="B62" s="2">
        <v>3.8349082555652401</v>
      </c>
      <c r="C62" s="2">
        <v>0.159778478398787</v>
      </c>
      <c r="D62" s="2">
        <v>9.4222223583133993E-2</v>
      </c>
      <c r="E62" s="2">
        <v>5.1115180752329802E-3</v>
      </c>
      <c r="F62" s="2"/>
      <c r="M62" s="9" t="s">
        <v>284</v>
      </c>
      <c r="N62" s="2">
        <v>5.67007242819595</v>
      </c>
      <c r="O62" s="2">
        <v>0.14752706387520101</v>
      </c>
      <c r="P62" s="2">
        <v>7.4773327938384898E-2</v>
      </c>
      <c r="Q62" s="2">
        <v>2.6739705008392198E-3</v>
      </c>
      <c r="R62" s="2"/>
      <c r="S62" s="7" t="s">
        <v>71</v>
      </c>
      <c r="T62" s="8">
        <v>5.4797523151953529</v>
      </c>
      <c r="U62" s="4">
        <v>0.17896500519789743</v>
      </c>
      <c r="V62" s="4">
        <v>7.7170000000000002E-2</v>
      </c>
      <c r="W62" s="4">
        <v>3.4199999999999999E-3</v>
      </c>
      <c r="X62" s="4">
        <v>0.59199999999999997</v>
      </c>
      <c r="Z62" s="23" t="s">
        <v>454</v>
      </c>
      <c r="AA62" s="17">
        <v>5.2300908698265802</v>
      </c>
      <c r="AB62" s="17">
        <v>0.201024030277975</v>
      </c>
      <c r="AC62" s="17">
        <v>7.9388987328840199E-2</v>
      </c>
      <c r="AD62" s="17">
        <v>6.8780387862229695E-4</v>
      </c>
      <c r="AF62" s="28" t="s">
        <v>573</v>
      </c>
      <c r="AG62" s="14">
        <f t="shared" si="3"/>
        <v>0.19120126684016067</v>
      </c>
      <c r="AH62" s="14">
        <f t="shared" si="4"/>
        <v>1.4698042619568521E-2</v>
      </c>
      <c r="AI62" s="14">
        <v>7.4079999999999993E-2</v>
      </c>
      <c r="AJ62" s="14">
        <f t="shared" si="5"/>
        <v>1.3756077572445939E-3</v>
      </c>
      <c r="AL62" s="29" t="s">
        <v>688</v>
      </c>
      <c r="AM62" s="19">
        <v>5.4504823676895411</v>
      </c>
      <c r="AN62">
        <v>0.10991870474982997</v>
      </c>
      <c r="AO62" s="20">
        <v>7.6740000000000003E-2</v>
      </c>
      <c r="AP62">
        <v>1.82E-3</v>
      </c>
      <c r="AR62" s="31" t="s">
        <v>784</v>
      </c>
      <c r="AS62">
        <v>5.3022717134388602</v>
      </c>
      <c r="AT62">
        <v>0.122273789344328</v>
      </c>
      <c r="AU62">
        <v>7.7026415266701898E-2</v>
      </c>
      <c r="AV62">
        <v>1.0639424998770801E-3</v>
      </c>
      <c r="AX62" s="31" t="s">
        <v>922</v>
      </c>
      <c r="AY62">
        <v>4.5094703026093397</v>
      </c>
      <c r="AZ62">
        <v>4.6165214989425198E-2</v>
      </c>
      <c r="BA62">
        <v>8.5648043588147996E-2</v>
      </c>
      <c r="BB62">
        <v>8.0237229606643795E-4</v>
      </c>
      <c r="BD62" s="31" t="s">
        <v>1071</v>
      </c>
      <c r="BE62">
        <v>3.5664169308625699</v>
      </c>
      <c r="BF62">
        <v>6.5998847200576097E-2</v>
      </c>
      <c r="BG62">
        <v>9.6403414372708704E-2</v>
      </c>
      <c r="BH62">
        <v>5.1315476150656195E-4</v>
      </c>
    </row>
    <row r="63" spans="1:60" x14ac:dyDescent="0.25">
      <c r="A63" s="9" t="s">
        <v>158</v>
      </c>
      <c r="B63" s="2">
        <v>4.5041350894177299</v>
      </c>
      <c r="C63" s="2">
        <v>0.148982207976146</v>
      </c>
      <c r="D63" s="2">
        <v>8.3552874862433693E-2</v>
      </c>
      <c r="E63" s="2">
        <v>3.4474028832777301E-3</v>
      </c>
      <c r="F63" s="2"/>
      <c r="M63" s="9" t="s">
        <v>285</v>
      </c>
      <c r="N63" s="2">
        <v>4.46425338120895</v>
      </c>
      <c r="O63" s="2">
        <v>0.14987834273424999</v>
      </c>
      <c r="P63" s="2">
        <v>8.3591298585912605E-2</v>
      </c>
      <c r="Q63" s="2">
        <v>4.39292368099978E-3</v>
      </c>
      <c r="R63" s="2"/>
      <c r="S63" s="7" t="s">
        <v>72</v>
      </c>
      <c r="T63" s="8">
        <v>5.1626226122870413</v>
      </c>
      <c r="U63" s="4">
        <v>0.13539557496343921</v>
      </c>
      <c r="V63" s="4">
        <v>7.6829999999999996E-2</v>
      </c>
      <c r="W63" s="4">
        <v>1.7799999999999999E-3</v>
      </c>
      <c r="X63" s="4">
        <v>0.748</v>
      </c>
      <c r="Z63" s="23" t="s">
        <v>455</v>
      </c>
      <c r="AA63" s="17">
        <v>4.97996243695468</v>
      </c>
      <c r="AB63" s="17">
        <v>0.189494937603676</v>
      </c>
      <c r="AC63" s="17">
        <v>7.9164915638878106E-2</v>
      </c>
      <c r="AD63" s="17">
        <v>3.1156602480427202E-4</v>
      </c>
      <c r="AF63" s="28" t="s">
        <v>574</v>
      </c>
      <c r="AG63" s="14">
        <f t="shared" si="3"/>
        <v>0.20080472747732503</v>
      </c>
      <c r="AH63" s="14">
        <f t="shared" si="4"/>
        <v>1.5281833863432877E-2</v>
      </c>
      <c r="AI63" s="14">
        <v>7.3999999999999996E-2</v>
      </c>
      <c r="AJ63" s="14">
        <f t="shared" si="5"/>
        <v>6.2313204960854403E-4</v>
      </c>
      <c r="AL63" s="29" t="s">
        <v>689</v>
      </c>
      <c r="AM63" s="19">
        <v>5.6411124273706772</v>
      </c>
      <c r="AN63">
        <v>0.1145597379056492</v>
      </c>
      <c r="AO63" s="20">
        <v>7.6619999999999994E-2</v>
      </c>
      <c r="AP63">
        <v>2.0600000000000002E-3</v>
      </c>
      <c r="AR63" s="31" t="s">
        <v>785</v>
      </c>
      <c r="AS63">
        <v>5.4270837751330303</v>
      </c>
      <c r="AT63">
        <v>4.7820825443894398E-2</v>
      </c>
      <c r="AU63">
        <v>7.6561804043070794E-2</v>
      </c>
      <c r="AV63">
        <v>4.42359338763136E-4</v>
      </c>
      <c r="AX63" s="31" t="s">
        <v>923</v>
      </c>
      <c r="AY63">
        <v>4.4202386319617899</v>
      </c>
      <c r="AZ63">
        <v>3.9506563742960403E-2</v>
      </c>
      <c r="BA63">
        <v>8.5356506333659293E-2</v>
      </c>
      <c r="BB63">
        <v>4.0923744724567302E-4</v>
      </c>
      <c r="BD63" s="31" t="s">
        <v>1072</v>
      </c>
      <c r="BE63">
        <v>3.8746337462662699</v>
      </c>
      <c r="BF63">
        <v>6.4503122835467594E-2</v>
      </c>
      <c r="BG63">
        <v>9.5984924772634803E-2</v>
      </c>
      <c r="BH63">
        <v>4.6247019108796401E-4</v>
      </c>
    </row>
    <row r="64" spans="1:60" x14ac:dyDescent="0.25">
      <c r="A64" s="9" t="s">
        <v>159</v>
      </c>
      <c r="B64" s="2">
        <v>3.2856495602194702</v>
      </c>
      <c r="C64" s="2">
        <v>0.103580468498622</v>
      </c>
      <c r="D64" s="2">
        <v>0.104286491881956</v>
      </c>
      <c r="E64" s="2">
        <v>4.0395358590617596E-3</v>
      </c>
      <c r="F64" s="2"/>
      <c r="M64" s="9" t="s">
        <v>286</v>
      </c>
      <c r="N64" s="2">
        <v>5.5779227504442197</v>
      </c>
      <c r="O64" s="2">
        <v>0.153071644803802</v>
      </c>
      <c r="P64" s="2">
        <v>7.4569527165194105E-2</v>
      </c>
      <c r="Q64" s="2">
        <v>3.1555852902842001E-3</v>
      </c>
      <c r="R64" s="2"/>
      <c r="S64" s="7" t="s">
        <v>73</v>
      </c>
      <c r="T64" s="8">
        <v>5.6698985088166918</v>
      </c>
      <c r="U64" s="4">
        <v>0.15302328571734114</v>
      </c>
      <c r="V64" s="4">
        <v>7.4319999999999997E-2</v>
      </c>
      <c r="W64" s="4">
        <v>2E-3</v>
      </c>
      <c r="X64" s="4">
        <v>0.70799999999999996</v>
      </c>
      <c r="Z64" s="23" t="s">
        <v>456</v>
      </c>
      <c r="AA64" s="17">
        <v>5.3180863570900403</v>
      </c>
      <c r="AB64" s="17">
        <v>0.21133646376371801</v>
      </c>
      <c r="AC64" s="17">
        <v>7.8798356794618094E-2</v>
      </c>
      <c r="AD64" s="17">
        <v>3.7550958809972202E-4</v>
      </c>
      <c r="AF64" s="28" t="s">
        <v>575</v>
      </c>
      <c r="AG64" s="14">
        <f t="shared" si="3"/>
        <v>0.188037563298837</v>
      </c>
      <c r="AH64" s="14">
        <f t="shared" si="4"/>
        <v>1.4944922294968922E-2</v>
      </c>
      <c r="AI64" s="14">
        <v>7.392E-2</v>
      </c>
      <c r="AJ64" s="14">
        <f t="shared" si="5"/>
        <v>7.5101917619944405E-4</v>
      </c>
      <c r="AL64" s="29" t="s">
        <v>690</v>
      </c>
      <c r="AM64" s="19">
        <v>5.4039448797622267</v>
      </c>
      <c r="AN64">
        <v>0.10980185219079153</v>
      </c>
      <c r="AO64" s="20">
        <v>7.6450000000000004E-2</v>
      </c>
      <c r="AP64">
        <v>1.8799999999999997E-3</v>
      </c>
      <c r="AR64" s="31" t="s">
        <v>786</v>
      </c>
      <c r="AS64">
        <v>5.2805316205649202</v>
      </c>
      <c r="AT64">
        <v>8.0545169852568405E-2</v>
      </c>
      <c r="AU64">
        <v>7.6535885404741502E-2</v>
      </c>
      <c r="AV64">
        <v>3.78563279650286E-4</v>
      </c>
      <c r="AX64" s="31" t="s">
        <v>924</v>
      </c>
      <c r="AY64">
        <v>4.74043620246775</v>
      </c>
      <c r="AZ64">
        <v>3.8965734480061603E-2</v>
      </c>
      <c r="BA64">
        <v>8.3377634821692997E-2</v>
      </c>
      <c r="BB64">
        <v>7.8147520947558305E-4</v>
      </c>
      <c r="BD64" s="31" t="s">
        <v>1073</v>
      </c>
      <c r="BE64">
        <v>3.6817382143519901</v>
      </c>
      <c r="BF64">
        <v>6.0616663802530397E-2</v>
      </c>
      <c r="BG64">
        <v>9.5939879037204995E-2</v>
      </c>
      <c r="BH64">
        <v>5.22322337075217E-4</v>
      </c>
    </row>
    <row r="65" spans="1:60" x14ac:dyDescent="0.25">
      <c r="A65" s="9" t="s">
        <v>160</v>
      </c>
      <c r="B65" s="2">
        <v>4.3551337883034398</v>
      </c>
      <c r="C65" s="2">
        <v>0.12641278284034099</v>
      </c>
      <c r="D65" s="2">
        <v>8.5529121702523803E-2</v>
      </c>
      <c r="E65" s="2">
        <v>2.25674468552614E-3</v>
      </c>
      <c r="F65" s="2"/>
      <c r="M65" s="9" t="s">
        <v>287</v>
      </c>
      <c r="N65" s="2">
        <v>4.2501356658163498</v>
      </c>
      <c r="O65" s="2">
        <v>0.13682721720273899</v>
      </c>
      <c r="P65" s="2">
        <v>8.6346357848471902E-2</v>
      </c>
      <c r="Q65" s="2">
        <v>4.07249636360633E-3</v>
      </c>
      <c r="R65" s="2"/>
      <c r="S65" s="7" t="s">
        <v>74</v>
      </c>
      <c r="T65" s="8">
        <v>5.6458897922312561</v>
      </c>
      <c r="U65" s="4">
        <v>0.14981753626629915</v>
      </c>
      <c r="V65" s="4">
        <v>7.424E-2</v>
      </c>
      <c r="W65" s="4">
        <v>1.72E-3</v>
      </c>
      <c r="X65" s="4">
        <v>0.752</v>
      </c>
      <c r="Z65" s="23" t="s">
        <v>457</v>
      </c>
      <c r="AA65" s="17">
        <v>5.2887313448280198</v>
      </c>
      <c r="AB65" s="17">
        <v>0.16165030211044201</v>
      </c>
      <c r="AC65" s="17">
        <v>7.78931746938165E-2</v>
      </c>
      <c r="AD65" s="17">
        <v>2.68494909895541E-4</v>
      </c>
      <c r="AF65" s="28" t="s">
        <v>576</v>
      </c>
      <c r="AG65" s="14">
        <f t="shared" si="3"/>
        <v>0.1890812625560806</v>
      </c>
      <c r="AH65" s="14">
        <f t="shared" si="4"/>
        <v>1.1558553922579011E-2</v>
      </c>
      <c r="AI65" s="14">
        <v>7.3340000000000002E-2</v>
      </c>
      <c r="AJ65" s="14">
        <f t="shared" si="5"/>
        <v>5.36989819791082E-4</v>
      </c>
      <c r="AL65" s="29" t="s">
        <v>691</v>
      </c>
      <c r="AM65" s="19">
        <v>5.2985746834101626</v>
      </c>
      <c r="AN65">
        <v>0.11117657895567339</v>
      </c>
      <c r="AO65" s="20">
        <v>7.6310000000000003E-2</v>
      </c>
      <c r="AP65">
        <v>2.3999999999999998E-3</v>
      </c>
      <c r="AR65" s="31" t="s">
        <v>787</v>
      </c>
      <c r="AS65">
        <v>6.00864965549437</v>
      </c>
      <c r="AT65">
        <v>0.11361402239674701</v>
      </c>
      <c r="AU65">
        <v>7.5905269611538095E-2</v>
      </c>
      <c r="AV65">
        <v>7.6200464539800895E-4</v>
      </c>
      <c r="AX65" s="31" t="s">
        <v>925</v>
      </c>
      <c r="AY65">
        <v>4.7401416262314999</v>
      </c>
      <c r="AZ65">
        <v>0.259035872184258</v>
      </c>
      <c r="BA65">
        <v>8.3367258301929995E-2</v>
      </c>
      <c r="BB65">
        <v>1.8028175849102901E-3</v>
      </c>
      <c r="BD65" s="31" t="s">
        <v>1074</v>
      </c>
      <c r="BE65">
        <v>3.9073602317708902</v>
      </c>
      <c r="BF65">
        <v>7.1619941125380407E-2</v>
      </c>
      <c r="BG65">
        <v>9.5893306223682903E-2</v>
      </c>
      <c r="BH65">
        <v>5.0395736248299205E-4</v>
      </c>
    </row>
    <row r="66" spans="1:60" x14ac:dyDescent="0.25">
      <c r="A66" s="9" t="s">
        <v>161</v>
      </c>
      <c r="B66" s="2">
        <v>6.1286358175166598</v>
      </c>
      <c r="C66" s="2">
        <v>0.20086394120839099</v>
      </c>
      <c r="D66" s="2">
        <v>7.2041839088103202E-2</v>
      </c>
      <c r="E66" s="2">
        <v>2.3977752311497001E-3</v>
      </c>
      <c r="F66" s="2"/>
      <c r="M66" s="9" t="s">
        <v>288</v>
      </c>
      <c r="N66" s="2">
        <v>5.6611007636110298</v>
      </c>
      <c r="O66" s="2">
        <v>0.13357689618826399</v>
      </c>
      <c r="P66" s="2">
        <v>7.4520137041629797E-2</v>
      </c>
      <c r="Q66" s="2">
        <v>3.1819775268387002E-3</v>
      </c>
      <c r="R66" s="2"/>
      <c r="S66" s="7" t="s">
        <v>75</v>
      </c>
      <c r="T66" s="8">
        <v>5.727048851726706</v>
      </c>
      <c r="U66" s="4">
        <v>0.21122613026241333</v>
      </c>
      <c r="V66" s="4">
        <v>7.4209999999999998E-2</v>
      </c>
      <c r="W66" s="4">
        <v>1.6800000000000001E-3</v>
      </c>
      <c r="X66" s="4">
        <v>0.85099999999999998</v>
      </c>
      <c r="Z66" s="23" t="s">
        <v>458</v>
      </c>
      <c r="AA66" s="17">
        <v>5.1760465706112297</v>
      </c>
      <c r="AB66" s="17">
        <v>9.3342034317989098E-2</v>
      </c>
      <c r="AC66" s="17">
        <v>7.7534128488748702E-2</v>
      </c>
      <c r="AD66" s="17">
        <v>2.9019155135269898E-4</v>
      </c>
      <c r="AF66" s="28" t="s">
        <v>577</v>
      </c>
      <c r="AG66" s="14">
        <f t="shared" si="3"/>
        <v>0.19319764348293178</v>
      </c>
      <c r="AH66" s="14">
        <f t="shared" si="4"/>
        <v>6.9680443644110808E-3</v>
      </c>
      <c r="AI66" s="14">
        <v>7.3330000000000006E-2</v>
      </c>
      <c r="AJ66" s="14">
        <f t="shared" si="5"/>
        <v>5.8038310270539797E-4</v>
      </c>
      <c r="AL66" s="29" t="s">
        <v>692</v>
      </c>
      <c r="AM66" s="19">
        <v>5.5710306406685239</v>
      </c>
      <c r="AN66">
        <v>0.11048952134139245</v>
      </c>
      <c r="AO66" s="20">
        <v>7.5789999999999996E-2</v>
      </c>
      <c r="AP66">
        <v>1.72E-3</v>
      </c>
      <c r="AR66" s="31" t="s">
        <v>788</v>
      </c>
      <c r="AS66">
        <v>5.28799952725912</v>
      </c>
      <c r="AT66">
        <v>8.6917250511824196E-2</v>
      </c>
      <c r="AU66">
        <v>7.5538564068656194E-2</v>
      </c>
      <c r="AV66">
        <v>5.1572703864657303E-4</v>
      </c>
      <c r="AX66" s="31" t="s">
        <v>926</v>
      </c>
      <c r="AY66">
        <v>4.7018271995992098</v>
      </c>
      <c r="AZ66">
        <v>4.2236185146772201E-2</v>
      </c>
      <c r="BA66">
        <v>8.2214224950821896E-2</v>
      </c>
      <c r="BB66">
        <v>7.5021192200562298E-4</v>
      </c>
      <c r="BD66" s="31" t="s">
        <v>1075</v>
      </c>
      <c r="BE66">
        <v>3.6621311702453601</v>
      </c>
      <c r="BF66">
        <v>5.9875602101182902E-2</v>
      </c>
      <c r="BG66">
        <v>9.5720629693303097E-2</v>
      </c>
      <c r="BH66">
        <v>4.6501077541550798E-4</v>
      </c>
    </row>
    <row r="67" spans="1:60" x14ac:dyDescent="0.25">
      <c r="A67" s="9" t="s">
        <v>162</v>
      </c>
      <c r="B67" s="2">
        <v>3.16408486507446</v>
      </c>
      <c r="C67" s="2">
        <v>9.8831825000565102E-2</v>
      </c>
      <c r="D67" s="2">
        <v>0.108507459184411</v>
      </c>
      <c r="E67" s="2">
        <v>3.0630811044052098E-3</v>
      </c>
      <c r="F67" s="2"/>
      <c r="M67" s="9" t="s">
        <v>289</v>
      </c>
      <c r="N67" s="2">
        <v>5.6496365993169704</v>
      </c>
      <c r="O67" s="2">
        <v>0.18467325223734701</v>
      </c>
      <c r="P67" s="2">
        <v>7.4823894076087499E-2</v>
      </c>
      <c r="Q67" s="2">
        <v>4.4997397331150296E-3</v>
      </c>
      <c r="R67" s="2"/>
      <c r="S67" s="7" t="s">
        <v>76</v>
      </c>
      <c r="T67" s="8">
        <v>6.0808756460930367</v>
      </c>
      <c r="U67" s="4">
        <v>0.14421048963066488</v>
      </c>
      <c r="V67" s="4">
        <v>7.2260000000000005E-2</v>
      </c>
      <c r="W67" s="4">
        <v>2.3400000000000001E-3</v>
      </c>
      <c r="X67" s="4">
        <v>0.59099999999999997</v>
      </c>
      <c r="Z67" s="23" t="s">
        <v>459</v>
      </c>
      <c r="AA67" s="17">
        <v>5.16816728363181</v>
      </c>
      <c r="AB67" s="17">
        <v>9.0335896647495098E-2</v>
      </c>
      <c r="AC67" s="17">
        <v>7.7552719465218606E-2</v>
      </c>
      <c r="AD67" s="17">
        <v>2.3925014640260999E-4</v>
      </c>
      <c r="AF67" s="28" t="s">
        <v>578</v>
      </c>
      <c r="AG67" s="14">
        <f t="shared" si="3"/>
        <v>0.19349218883976857</v>
      </c>
      <c r="AH67" s="14">
        <f t="shared" si="4"/>
        <v>6.7642123073244536E-3</v>
      </c>
      <c r="AI67" s="14">
        <v>7.2590000000000002E-2</v>
      </c>
      <c r="AJ67" s="14">
        <f t="shared" si="5"/>
        <v>4.7850029280521999E-4</v>
      </c>
      <c r="AL67" s="29" t="s">
        <v>693</v>
      </c>
      <c r="AM67" s="19">
        <v>5.698979882601015</v>
      </c>
      <c r="AN67">
        <v>0.12081954273252282</v>
      </c>
      <c r="AO67" s="20">
        <v>7.5420000000000001E-2</v>
      </c>
      <c r="AP67">
        <v>2.4399999999999999E-3</v>
      </c>
      <c r="AR67" s="31" t="s">
        <v>789</v>
      </c>
      <c r="AS67">
        <v>5.4319741254834604</v>
      </c>
      <c r="AT67">
        <v>9.7961918489097605E-2</v>
      </c>
      <c r="AU67">
        <v>7.5184679570089299E-2</v>
      </c>
      <c r="AV67">
        <v>5.6143712392577895E-4</v>
      </c>
      <c r="AX67" s="31" t="s">
        <v>927</v>
      </c>
      <c r="AY67">
        <v>4.7769165348372402</v>
      </c>
      <c r="AZ67">
        <v>4.5426761007391403E-2</v>
      </c>
      <c r="BA67">
        <v>8.2171841185023298E-2</v>
      </c>
      <c r="BB67">
        <v>4.8977946332766896E-4</v>
      </c>
      <c r="BD67" s="31" t="s">
        <v>1076</v>
      </c>
      <c r="BE67">
        <v>3.6077990193204998</v>
      </c>
      <c r="BF67">
        <v>0.132328115675276</v>
      </c>
      <c r="BG67">
        <v>9.5850794936397296E-2</v>
      </c>
      <c r="BH67">
        <v>1.2185547779859399E-3</v>
      </c>
    </row>
    <row r="68" spans="1:60" x14ac:dyDescent="0.25">
      <c r="A68" s="9" t="s">
        <v>163</v>
      </c>
      <c r="B68" s="2">
        <v>1.96161282389769</v>
      </c>
      <c r="C68" s="2">
        <v>7.4332745966369101E-2</v>
      </c>
      <c r="D68" s="2">
        <v>0.18414008592440201</v>
      </c>
      <c r="E68" s="2">
        <v>6.9210055264873399E-3</v>
      </c>
      <c r="F68" s="2"/>
      <c r="M68" s="9" t="s">
        <v>290</v>
      </c>
      <c r="N68" s="2">
        <v>5.3987917844676598</v>
      </c>
      <c r="O68" s="2">
        <v>0.14002835914426601</v>
      </c>
      <c r="P68" s="2">
        <v>7.7206362203906906E-2</v>
      </c>
      <c r="Q68" s="2">
        <v>2.9377854440468701E-3</v>
      </c>
      <c r="R68" s="2"/>
      <c r="S68" s="7" t="s">
        <v>77</v>
      </c>
      <c r="T68" s="8">
        <v>6.2243246607743057</v>
      </c>
      <c r="U68" s="4">
        <v>0.16426700212674628</v>
      </c>
      <c r="V68" s="4">
        <v>7.1010000000000004E-2</v>
      </c>
      <c r="W68" s="4">
        <v>2.48E-3</v>
      </c>
      <c r="X68" s="4">
        <v>0.60199999999999998</v>
      </c>
      <c r="Z68" s="23" t="s">
        <v>460</v>
      </c>
      <c r="AA68" s="17">
        <v>5.1560232279500502</v>
      </c>
      <c r="AB68" s="17">
        <v>8.9122405650093994E-2</v>
      </c>
      <c r="AC68" s="17">
        <v>7.7423410550434696E-2</v>
      </c>
      <c r="AD68" s="17">
        <v>3.4865905868702803E-4</v>
      </c>
      <c r="AF68" s="28" t="s">
        <v>579</v>
      </c>
      <c r="AG68" s="14">
        <f t="shared" si="3"/>
        <v>0.19394792377566217</v>
      </c>
      <c r="AH68" s="14">
        <f t="shared" si="4"/>
        <v>6.7048206625711215E-3</v>
      </c>
      <c r="AI68" s="14">
        <v>7.2470000000000007E-2</v>
      </c>
      <c r="AJ68" s="14">
        <f t="shared" si="5"/>
        <v>6.9731811737405605E-4</v>
      </c>
      <c r="AL68" s="29" t="s">
        <v>694</v>
      </c>
      <c r="AM68" s="19">
        <v>5.4966195789589403</v>
      </c>
      <c r="AN68">
        <v>0.1136002287521883</v>
      </c>
      <c r="AO68" s="20">
        <v>7.4980000000000005E-2</v>
      </c>
      <c r="AP68">
        <v>2.2799999999999999E-3</v>
      </c>
      <c r="AR68" s="31" t="s">
        <v>790</v>
      </c>
      <c r="AS68">
        <v>5.3938495482696496</v>
      </c>
      <c r="AT68">
        <v>6.2218604966243297E-2</v>
      </c>
      <c r="AU68">
        <v>7.5083474401660605E-2</v>
      </c>
      <c r="AV68">
        <v>5.6151683742973598E-4</v>
      </c>
      <c r="AX68" s="31" t="s">
        <v>928</v>
      </c>
      <c r="AY68">
        <v>4.9506434751748101</v>
      </c>
      <c r="AZ68">
        <v>4.7799692520961001E-2</v>
      </c>
      <c r="BA68">
        <v>8.0766464614699995E-2</v>
      </c>
      <c r="BB68">
        <v>7.4887995393412802E-4</v>
      </c>
      <c r="BD68" s="31" t="s">
        <v>1077</v>
      </c>
      <c r="BE68">
        <v>3.8732883864945</v>
      </c>
      <c r="BF68">
        <v>7.5588427597353999E-2</v>
      </c>
      <c r="BG68">
        <v>9.5566123697065505E-2</v>
      </c>
      <c r="BH68">
        <v>6.8107869326064605E-4</v>
      </c>
    </row>
    <row r="69" spans="1:60" x14ac:dyDescent="0.25">
      <c r="A69" s="9" t="s">
        <v>164</v>
      </c>
      <c r="B69" s="2">
        <v>3.45198612196294</v>
      </c>
      <c r="C69" s="2">
        <v>0.106542058103268</v>
      </c>
      <c r="D69" s="2">
        <v>0.100346522171348</v>
      </c>
      <c r="E69" s="2">
        <v>4.1442111870597697E-3</v>
      </c>
      <c r="F69" s="2"/>
      <c r="M69" s="9" t="s">
        <v>291</v>
      </c>
      <c r="N69" s="2">
        <v>3.4074590788933898</v>
      </c>
      <c r="O69" s="2">
        <v>0.109059013355916</v>
      </c>
      <c r="P69" s="2">
        <v>0.10380433702565101</v>
      </c>
      <c r="Q69" s="2">
        <v>5.6768584604874103E-3</v>
      </c>
      <c r="R69" s="2"/>
      <c r="S69" s="7" t="s">
        <v>78</v>
      </c>
      <c r="T69" s="8">
        <v>6.5651260504201678</v>
      </c>
      <c r="U69" s="4">
        <v>0.1775756258385707</v>
      </c>
      <c r="V69" s="4">
        <v>7.0970000000000005E-2</v>
      </c>
      <c r="W69" s="4">
        <v>1.56E-3</v>
      </c>
      <c r="X69" s="4">
        <v>0.77700000000000002</v>
      </c>
      <c r="Z69" s="23" t="s">
        <v>461</v>
      </c>
      <c r="AA69" s="17">
        <v>5.3847218148736404</v>
      </c>
      <c r="AB69" s="17">
        <v>0.16746162289775901</v>
      </c>
      <c r="AC69" s="17">
        <v>7.6274596362872094E-2</v>
      </c>
      <c r="AD69" s="17">
        <v>3.67969393062707E-4</v>
      </c>
      <c r="AF69" s="28" t="s">
        <v>580</v>
      </c>
      <c r="AG69" s="14">
        <f t="shared" si="3"/>
        <v>0.18571061502895231</v>
      </c>
      <c r="AH69" s="14">
        <f t="shared" si="4"/>
        <v>1.1550977766831616E-2</v>
      </c>
      <c r="AI69" s="14">
        <v>7.213E-2</v>
      </c>
      <c r="AJ69" s="14">
        <f t="shared" si="5"/>
        <v>7.3593878612541401E-4</v>
      </c>
      <c r="AL69" s="29" t="s">
        <v>695</v>
      </c>
      <c r="AM69" s="19">
        <v>5.4890767372927867</v>
      </c>
      <c r="AN69">
        <v>0.11027566614607311</v>
      </c>
      <c r="AO69" s="20">
        <v>7.4980000000000005E-2</v>
      </c>
      <c r="AP69">
        <v>1.8600000000000001E-3</v>
      </c>
      <c r="AR69" s="31" t="s">
        <v>791</v>
      </c>
      <c r="AS69">
        <v>5.4423587009321004</v>
      </c>
      <c r="AT69">
        <v>5.30875997757808E-2</v>
      </c>
      <c r="AU69">
        <v>7.4934858893914602E-2</v>
      </c>
      <c r="AV69">
        <v>4.9848859912437701E-4</v>
      </c>
      <c r="AX69" s="31" t="s">
        <v>929</v>
      </c>
      <c r="AY69">
        <v>4.7160240289544797</v>
      </c>
      <c r="AZ69">
        <v>4.14080398263834E-2</v>
      </c>
      <c r="BA69">
        <v>8.0597780430215593E-2</v>
      </c>
      <c r="BB69">
        <v>4.3536835130593898E-4</v>
      </c>
      <c r="BD69" s="31" t="s">
        <v>1078</v>
      </c>
      <c r="BE69">
        <v>3.7313075515842802</v>
      </c>
      <c r="BF69">
        <v>7.22625984085557E-2</v>
      </c>
      <c r="BG69">
        <v>9.4714876420936095E-2</v>
      </c>
      <c r="BH69">
        <v>7.6769962083988097E-4</v>
      </c>
    </row>
    <row r="70" spans="1:60" x14ac:dyDescent="0.25">
      <c r="A70" s="9" t="s">
        <v>165</v>
      </c>
      <c r="B70" s="2">
        <v>6.5482261982261303</v>
      </c>
      <c r="C70" s="2">
        <v>0.21363601035921501</v>
      </c>
      <c r="D70" s="2">
        <v>7.0265487827510395E-2</v>
      </c>
      <c r="E70" s="2">
        <v>2.82336886066343E-3</v>
      </c>
      <c r="F70" s="2"/>
      <c r="M70" s="9" t="s">
        <v>292</v>
      </c>
      <c r="N70" s="2">
        <v>3.67094374394286</v>
      </c>
      <c r="O70" s="2">
        <v>0.103145752834439</v>
      </c>
      <c r="P70" s="2">
        <v>9.5868646029476506E-2</v>
      </c>
      <c r="Q70" s="2">
        <v>3.9110538301282598E-3</v>
      </c>
      <c r="R70" s="2"/>
      <c r="S70" s="7" t="s">
        <v>79</v>
      </c>
      <c r="T70" s="8">
        <v>6.2676277029144467</v>
      </c>
      <c r="U70" s="4">
        <v>0.17913119602187325</v>
      </c>
      <c r="V70" s="4">
        <v>7.0739999999999997E-2</v>
      </c>
      <c r="W70" s="4">
        <v>2.0799999999999998E-3</v>
      </c>
      <c r="X70" s="4">
        <v>0.69499999999999995</v>
      </c>
      <c r="Z70" s="23" t="s">
        <v>462</v>
      </c>
      <c r="AA70" s="17">
        <v>5.8209217666229902</v>
      </c>
      <c r="AB70" s="17">
        <v>0.17778075398252899</v>
      </c>
      <c r="AC70" s="17">
        <v>7.5607524429234602E-2</v>
      </c>
      <c r="AD70" s="17">
        <v>2.5957206352188498E-4</v>
      </c>
      <c r="AF70" s="28" t="s">
        <v>581</v>
      </c>
      <c r="AG70" s="14">
        <f t="shared" si="3"/>
        <v>0.17179409723971439</v>
      </c>
      <c r="AH70" s="14">
        <f t="shared" si="4"/>
        <v>1.0493762109001197E-2</v>
      </c>
      <c r="AI70" s="14">
        <v>7.1410000000000001E-2</v>
      </c>
      <c r="AJ70" s="14">
        <f t="shared" si="5"/>
        <v>5.1914412704376996E-4</v>
      </c>
      <c r="AL70" s="29" t="s">
        <v>696</v>
      </c>
      <c r="AM70" s="19">
        <v>5.7947499565393752</v>
      </c>
      <c r="AN70">
        <v>0.11752694470584583</v>
      </c>
      <c r="AO70" s="20">
        <v>7.4719999999999995E-2</v>
      </c>
      <c r="AP70">
        <v>1.8200000000000002E-3</v>
      </c>
      <c r="AR70" s="31" t="s">
        <v>792</v>
      </c>
      <c r="AS70">
        <v>5.5092468844820504</v>
      </c>
      <c r="AT70">
        <v>8.8610451499476495E-2</v>
      </c>
      <c r="AU70">
        <v>7.5056438743022202E-2</v>
      </c>
      <c r="AV70">
        <v>5.2387460911476798E-4</v>
      </c>
      <c r="AX70" s="31" t="s">
        <v>930</v>
      </c>
      <c r="AY70">
        <v>4.8465502281862998</v>
      </c>
      <c r="AZ70">
        <v>4.5582883043713503E-2</v>
      </c>
      <c r="BA70">
        <v>8.0643977430077202E-2</v>
      </c>
      <c r="BB70">
        <v>4.77685548083261E-4</v>
      </c>
      <c r="BD70" s="31" t="s">
        <v>1079</v>
      </c>
      <c r="BE70">
        <v>3.8553254624053701</v>
      </c>
      <c r="BF70">
        <v>6.43319317334691E-2</v>
      </c>
      <c r="BG70">
        <v>9.2906310391027896E-2</v>
      </c>
      <c r="BH70">
        <v>2.8665081710054201E-4</v>
      </c>
    </row>
    <row r="71" spans="1:60" x14ac:dyDescent="0.25">
      <c r="A71" s="9" t="s">
        <v>166</v>
      </c>
      <c r="B71" s="2">
        <v>6.2944271871932402</v>
      </c>
      <c r="C71" s="2">
        <v>0.19154715037352599</v>
      </c>
      <c r="D71" s="2">
        <v>7.1096148786542607E-2</v>
      </c>
      <c r="E71" s="2">
        <v>2.5527984858806402E-3</v>
      </c>
      <c r="F71" s="2"/>
      <c r="M71" s="9" t="s">
        <v>293</v>
      </c>
      <c r="N71" s="2">
        <v>4.1479125906896899</v>
      </c>
      <c r="O71" s="2">
        <v>0.128444347101695</v>
      </c>
      <c r="P71" s="2">
        <v>8.7941839779557301E-2</v>
      </c>
      <c r="Q71" s="2">
        <v>2.81203984800401E-3</v>
      </c>
      <c r="R71" s="2"/>
      <c r="S71" s="7" t="s">
        <v>80</v>
      </c>
      <c r="T71" s="8">
        <v>6.314327208435941</v>
      </c>
      <c r="U71" s="4">
        <v>0.40508659744717535</v>
      </c>
      <c r="V71" s="4">
        <v>7.059E-2</v>
      </c>
      <c r="W71" s="4">
        <v>2.8800000000000002E-3</v>
      </c>
      <c r="X71" s="4">
        <v>0.84299999999999997</v>
      </c>
      <c r="Z71" s="23" t="s">
        <v>463</v>
      </c>
      <c r="AA71" s="17">
        <v>5.4052920597080796</v>
      </c>
      <c r="AB71" s="17">
        <v>0.15923688599746599</v>
      </c>
      <c r="AC71" s="17">
        <v>7.5576151164128802E-2</v>
      </c>
      <c r="AD71" s="17">
        <v>3.1568049849251901E-4</v>
      </c>
      <c r="AF71" s="28" t="s">
        <v>582</v>
      </c>
      <c r="AG71" s="14">
        <f t="shared" si="3"/>
        <v>0.18500387933783663</v>
      </c>
      <c r="AH71" s="14">
        <f t="shared" si="4"/>
        <v>1.0900221974240202E-2</v>
      </c>
      <c r="AI71" s="14">
        <v>7.0209999999999995E-2</v>
      </c>
      <c r="AJ71" s="14">
        <f t="shared" si="5"/>
        <v>6.3136099698503801E-4</v>
      </c>
      <c r="AL71" s="29" t="s">
        <v>697</v>
      </c>
      <c r="AM71" s="19">
        <v>5.616399887672002</v>
      </c>
      <c r="AN71">
        <v>0.11355821171367146</v>
      </c>
      <c r="AO71" s="20">
        <v>7.4679999999999996E-2</v>
      </c>
      <c r="AP71">
        <v>2E-3</v>
      </c>
      <c r="AR71" s="31" t="s">
        <v>793</v>
      </c>
      <c r="AS71">
        <v>5.8189491299383498</v>
      </c>
      <c r="AT71">
        <v>4.7129251543043801E-2</v>
      </c>
      <c r="AU71">
        <v>7.4964773046142893E-2</v>
      </c>
      <c r="AV71">
        <v>5.2062504824236305E-4</v>
      </c>
      <c r="AX71" s="31" t="s">
        <v>931</v>
      </c>
      <c r="AY71">
        <v>4.7307199840045797</v>
      </c>
      <c r="AZ71">
        <v>9.7895313361940003E-2</v>
      </c>
      <c r="BA71">
        <v>8.0620237691588298E-2</v>
      </c>
      <c r="BB71">
        <v>1.03978724678674E-3</v>
      </c>
      <c r="BD71" s="31" t="s">
        <v>1080</v>
      </c>
      <c r="BE71">
        <v>3.8723944874304101</v>
      </c>
      <c r="BF71">
        <v>6.2453103914189401E-2</v>
      </c>
      <c r="BG71">
        <v>9.15565736994748E-2</v>
      </c>
      <c r="BH71">
        <v>4.6619997010629698E-4</v>
      </c>
    </row>
    <row r="72" spans="1:60" x14ac:dyDescent="0.25">
      <c r="A72" s="9" t="s">
        <v>167</v>
      </c>
      <c r="B72" s="2">
        <v>2.1842110305924098</v>
      </c>
      <c r="C72" s="2">
        <v>5.3295419275722997E-2</v>
      </c>
      <c r="D72" s="2">
        <v>0.159452774816598</v>
      </c>
      <c r="E72" s="2">
        <v>6.3121158873041799E-3</v>
      </c>
      <c r="F72" s="2"/>
      <c r="M72" s="9" t="s">
        <v>294</v>
      </c>
      <c r="N72" s="2">
        <v>5.7459566758273501</v>
      </c>
      <c r="O72" s="2">
        <v>0.210896767251846</v>
      </c>
      <c r="P72" s="2">
        <v>7.4702093883535298E-2</v>
      </c>
      <c r="Q72" s="2">
        <v>4.40983999612099E-3</v>
      </c>
      <c r="R72" s="2"/>
      <c r="S72" s="7" t="s">
        <v>81</v>
      </c>
      <c r="T72" s="8">
        <v>6.3808065339458908</v>
      </c>
      <c r="U72" s="4">
        <v>0.1653016496160051</v>
      </c>
      <c r="V72" s="4">
        <v>7.0499999999999993E-2</v>
      </c>
      <c r="W72" s="4">
        <v>1.6999999999999999E-3</v>
      </c>
      <c r="X72" s="4">
        <v>0.73299999999999998</v>
      </c>
      <c r="Z72" s="23" t="s">
        <v>464</v>
      </c>
      <c r="AA72" s="17">
        <v>5.50176648512711</v>
      </c>
      <c r="AB72" s="17">
        <v>0.16610145848222799</v>
      </c>
      <c r="AC72" s="17">
        <v>7.5405949887040302E-2</v>
      </c>
      <c r="AD72" s="17">
        <v>2.3632037023012099E-4</v>
      </c>
      <c r="AF72" s="25" t="s">
        <v>583</v>
      </c>
      <c r="AG72" s="15">
        <f>1/AA72</f>
        <v>0.18175980436525133</v>
      </c>
      <c r="AH72" s="15">
        <f>2*(AB72/(AA72^2))</f>
        <v>1.0974863684282729E-2</v>
      </c>
      <c r="AI72" s="15">
        <v>0.60065999999999997</v>
      </c>
      <c r="AJ72" s="15">
        <f>AD72*2</f>
        <v>4.7264074046024198E-4</v>
      </c>
      <c r="AL72" s="29" t="s">
        <v>698</v>
      </c>
      <c r="AM72" s="19">
        <v>5.6246133078350864</v>
      </c>
      <c r="AN72">
        <v>0.11452331500288548</v>
      </c>
      <c r="AO72" s="20">
        <v>7.4620000000000006E-2</v>
      </c>
      <c r="AP72">
        <v>1.8200000000000002E-3</v>
      </c>
      <c r="AR72" s="31" t="s">
        <v>794</v>
      </c>
      <c r="AS72">
        <v>5.4528657302184698</v>
      </c>
      <c r="AT72">
        <v>5.4041268831683198E-2</v>
      </c>
      <c r="AU72">
        <v>7.4897275264107097E-2</v>
      </c>
      <c r="AV72">
        <v>4.6749258525915198E-4</v>
      </c>
      <c r="AX72" s="31" t="s">
        <v>932</v>
      </c>
      <c r="AY72">
        <v>4.9505753814569697</v>
      </c>
      <c r="AZ72">
        <v>5.75334792539344E-2</v>
      </c>
      <c r="BA72">
        <v>8.0261415214158499E-2</v>
      </c>
      <c r="BB72">
        <v>5.3714103624120902E-4</v>
      </c>
      <c r="BD72" s="31" t="s">
        <v>1081</v>
      </c>
      <c r="BE72">
        <v>3.8876439050555902</v>
      </c>
      <c r="BF72">
        <v>6.9961877498498096E-2</v>
      </c>
      <c r="BG72">
        <v>9.1497386624919602E-2</v>
      </c>
      <c r="BH72">
        <v>3.7186601492370002E-4</v>
      </c>
    </row>
    <row r="73" spans="1:60" x14ac:dyDescent="0.25">
      <c r="A73" s="9" t="s">
        <v>168</v>
      </c>
      <c r="B73" s="2">
        <v>2.9061021027959</v>
      </c>
      <c r="C73" s="2">
        <v>9.2559963979084198E-2</v>
      </c>
      <c r="D73" s="2">
        <v>0.11624143868048201</v>
      </c>
      <c r="E73" s="2">
        <v>3.6939559916776801E-3</v>
      </c>
      <c r="F73" s="2"/>
      <c r="M73" s="9" t="s">
        <v>295</v>
      </c>
      <c r="N73" s="2">
        <v>3.2770529174732701</v>
      </c>
      <c r="O73" s="2">
        <v>8.0628130782479907E-2</v>
      </c>
      <c r="P73" s="2">
        <v>0.105384748545406</v>
      </c>
      <c r="Q73" s="2">
        <v>4.0958413667687502E-3</v>
      </c>
      <c r="R73" s="2"/>
      <c r="S73" s="7" t="s">
        <v>82</v>
      </c>
      <c r="T73" s="8">
        <v>6.3564708873633364</v>
      </c>
      <c r="U73" s="4">
        <v>0.17858887186718758</v>
      </c>
      <c r="V73" s="4">
        <v>7.0230000000000001E-2</v>
      </c>
      <c r="W73" s="4">
        <v>1.6800000000000001E-3</v>
      </c>
      <c r="X73" s="4">
        <v>0.76200000000000001</v>
      </c>
      <c r="Z73" s="23" t="s">
        <v>465</v>
      </c>
      <c r="AA73" s="17">
        <v>5.8902150152875503</v>
      </c>
      <c r="AB73" s="17">
        <v>0.22164402896044599</v>
      </c>
      <c r="AC73" s="17">
        <v>7.51617183658157E-2</v>
      </c>
      <c r="AD73" s="17">
        <v>2.5288378725368702E-4</v>
      </c>
      <c r="AF73" s="25" t="s">
        <v>584</v>
      </c>
      <c r="AG73" s="15">
        <f t="shared" ref="AG73:AG117" si="6">1/AA73</f>
        <v>0.16977308933622717</v>
      </c>
      <c r="AH73" s="15">
        <f t="shared" ref="AH73:AH117" si="7">2*(AB73/(AA73^2))</f>
        <v>1.2776848190390254E-2</v>
      </c>
      <c r="AI73" s="15">
        <v>0.15825</v>
      </c>
      <c r="AJ73" s="15">
        <f t="shared" ref="AJ73:AJ117" si="8">AD73*2</f>
        <v>5.0576757450737403E-4</v>
      </c>
      <c r="AL73" s="29" t="s">
        <v>699</v>
      </c>
      <c r="AM73" s="19">
        <v>5.7185337679419002</v>
      </c>
      <c r="AN73">
        <v>0.11576376473102493</v>
      </c>
      <c r="AO73" s="20">
        <v>7.4520000000000003E-2</v>
      </c>
      <c r="AP73">
        <v>1.7600000000000003E-3</v>
      </c>
      <c r="AR73" s="31" t="s">
        <v>795</v>
      </c>
      <c r="AS73">
        <v>5.4850001386994496</v>
      </c>
      <c r="AT73">
        <v>0.12756886917031199</v>
      </c>
      <c r="AU73">
        <v>7.4979211192352499E-2</v>
      </c>
      <c r="AV73">
        <v>7.9489760687369597E-4</v>
      </c>
      <c r="AX73" s="31" t="s">
        <v>933</v>
      </c>
      <c r="AY73">
        <v>5.1559775133891304</v>
      </c>
      <c r="AZ73">
        <v>0.13559168895408699</v>
      </c>
      <c r="BA73">
        <v>7.9921094018135894E-2</v>
      </c>
      <c r="BB73">
        <v>1.28726989763002E-3</v>
      </c>
      <c r="BD73" s="31" t="s">
        <v>1082</v>
      </c>
      <c r="BE73">
        <v>3.9207514956547298</v>
      </c>
      <c r="BF73">
        <v>6.6004731555701607E-2</v>
      </c>
      <c r="BG73">
        <v>9.1287277614467102E-2</v>
      </c>
      <c r="BH73">
        <v>4.0521830723018302E-4</v>
      </c>
    </row>
    <row r="74" spans="1:60" x14ac:dyDescent="0.25">
      <c r="A74" s="9" t="s">
        <v>169</v>
      </c>
      <c r="B74" s="2">
        <v>3.8982875641611301</v>
      </c>
      <c r="C74" s="2">
        <v>0.12793550796123301</v>
      </c>
      <c r="D74" s="2">
        <v>9.3983054928522797E-2</v>
      </c>
      <c r="E74" s="2">
        <v>2.6956458146146999E-3</v>
      </c>
      <c r="F74" s="2"/>
      <c r="M74" s="9" t="s">
        <v>296</v>
      </c>
      <c r="N74" s="2">
        <v>3.8200231834879199</v>
      </c>
      <c r="O74" s="2">
        <v>0.14831050912139801</v>
      </c>
      <c r="P74" s="2">
        <v>9.9323942977187593E-2</v>
      </c>
      <c r="Q74" s="2">
        <v>6.1825238540262799E-3</v>
      </c>
      <c r="R74" s="2"/>
      <c r="S74" s="7" t="s">
        <v>83</v>
      </c>
      <c r="T74" s="8">
        <v>6.5091453492156486</v>
      </c>
      <c r="U74" s="4">
        <v>0.26184025423519303</v>
      </c>
      <c r="V74" s="4">
        <v>6.9080000000000003E-2</v>
      </c>
      <c r="W74" s="4">
        <v>1.98E-3</v>
      </c>
      <c r="X74" s="4">
        <v>0.81599999999999995</v>
      </c>
      <c r="Z74" s="23" t="s">
        <v>466</v>
      </c>
      <c r="AA74" s="17">
        <v>5.6528520387244399</v>
      </c>
      <c r="AB74" s="17">
        <v>0.213818896004281</v>
      </c>
      <c r="AC74" s="17">
        <v>7.5129539465377093E-2</v>
      </c>
      <c r="AD74" s="17">
        <v>4.0500182485374297E-4</v>
      </c>
      <c r="AF74" s="25" t="s">
        <v>585</v>
      </c>
      <c r="AG74" s="15">
        <f t="shared" si="6"/>
        <v>0.17690185293186073</v>
      </c>
      <c r="AH74" s="15">
        <f t="shared" si="7"/>
        <v>1.3382610631194693E-2</v>
      </c>
      <c r="AI74" s="15">
        <v>0.14645</v>
      </c>
      <c r="AJ74" s="15">
        <f t="shared" si="8"/>
        <v>8.1000364970748595E-4</v>
      </c>
      <c r="AL74" s="29" t="s">
        <v>700</v>
      </c>
      <c r="AM74" s="19">
        <v>5.7142857142857144</v>
      </c>
      <c r="AN74">
        <v>0.11559183673469391</v>
      </c>
      <c r="AO74" s="20">
        <v>7.4389999999999998E-2</v>
      </c>
      <c r="AP74">
        <v>1.7599999999999998E-3</v>
      </c>
      <c r="AR74" s="31" t="s">
        <v>796</v>
      </c>
      <c r="AS74">
        <v>5.5620472311169697</v>
      </c>
      <c r="AT74">
        <v>8.2549008630796394E-2</v>
      </c>
      <c r="AU74">
        <v>7.4793454917956206E-2</v>
      </c>
      <c r="AV74">
        <v>5.6375296490061605E-4</v>
      </c>
      <c r="AX74" s="31" t="s">
        <v>934</v>
      </c>
      <c r="AY74">
        <v>4.9559203336317799</v>
      </c>
      <c r="AZ74">
        <v>7.6094228547986101E-2</v>
      </c>
      <c r="BA74">
        <v>7.9395956800516004E-2</v>
      </c>
      <c r="BB74">
        <v>4.0962521197382401E-4</v>
      </c>
      <c r="BD74" s="31" t="s">
        <v>1083</v>
      </c>
      <c r="BE74">
        <v>3.97491095181707</v>
      </c>
      <c r="BF74">
        <v>8.1897425352064998E-2</v>
      </c>
      <c r="BG74">
        <v>9.1230575721054405E-2</v>
      </c>
      <c r="BH74">
        <v>5.2790978307945199E-4</v>
      </c>
    </row>
    <row r="75" spans="1:60" x14ac:dyDescent="0.25">
      <c r="A75" s="9" t="s">
        <v>170</v>
      </c>
      <c r="B75" s="2">
        <v>6.0702675879615899</v>
      </c>
      <c r="C75" s="2">
        <v>0.17887025679458499</v>
      </c>
      <c r="D75" s="2">
        <v>7.0893806883751603E-2</v>
      </c>
      <c r="E75" s="2">
        <v>2.4621627888951701E-3</v>
      </c>
      <c r="F75" s="2"/>
      <c r="M75" s="9" t="s">
        <v>297</v>
      </c>
      <c r="N75" s="2">
        <v>1.96277733202718</v>
      </c>
      <c r="O75" s="2">
        <v>5.39272368339044E-2</v>
      </c>
      <c r="P75" s="2">
        <v>0.17914352479836401</v>
      </c>
      <c r="Q75" s="2">
        <v>7.6377031298659297E-3</v>
      </c>
      <c r="R75" s="2"/>
      <c r="S75" s="7" t="s">
        <v>84</v>
      </c>
      <c r="T75" s="8">
        <v>8.1380208333333339</v>
      </c>
      <c r="U75" s="4">
        <v>0.26358498467339408</v>
      </c>
      <c r="V75" s="4">
        <v>6.4199999999999993E-2</v>
      </c>
      <c r="W75" s="4">
        <v>1.64E-3</v>
      </c>
      <c r="X75" s="4">
        <v>0.78300000000000003</v>
      </c>
      <c r="Z75" s="23" t="s">
        <v>467</v>
      </c>
      <c r="AA75" s="17">
        <v>5.5221200681632903</v>
      </c>
      <c r="AB75" s="17">
        <v>0.101663898796088</v>
      </c>
      <c r="AC75" s="17">
        <v>7.4991068267116406E-2</v>
      </c>
      <c r="AD75" s="17">
        <v>4.1531310347470298E-4</v>
      </c>
      <c r="AF75" s="25" t="s">
        <v>586</v>
      </c>
      <c r="AG75" s="15">
        <f t="shared" si="6"/>
        <v>0.18108986904600383</v>
      </c>
      <c r="AH75" s="15">
        <f t="shared" si="7"/>
        <v>6.6678383999039716E-3</v>
      </c>
      <c r="AI75" s="15">
        <v>0.12745999999999999</v>
      </c>
      <c r="AJ75" s="15">
        <f t="shared" si="8"/>
        <v>8.3062620694940596E-4</v>
      </c>
      <c r="AL75" s="29" t="s">
        <v>701</v>
      </c>
      <c r="AM75" s="19">
        <v>5.7830210501966226</v>
      </c>
      <c r="AN75">
        <v>0.11705166363456038</v>
      </c>
      <c r="AO75" s="20">
        <v>7.4139999999999998E-2</v>
      </c>
      <c r="AP75">
        <v>1.7600000000000001E-3</v>
      </c>
      <c r="AR75" s="31" t="s">
        <v>797</v>
      </c>
      <c r="AS75">
        <v>5.4862209983192196</v>
      </c>
      <c r="AT75">
        <v>0.13185890062762601</v>
      </c>
      <c r="AU75">
        <v>7.5037483810153793E-2</v>
      </c>
      <c r="AV75">
        <v>9.7226032691408702E-4</v>
      </c>
      <c r="AX75" s="31" t="s">
        <v>935</v>
      </c>
      <c r="AY75">
        <v>5.1183213818402802</v>
      </c>
      <c r="AZ75">
        <v>4.7123882928077503E-2</v>
      </c>
      <c r="BA75">
        <v>7.9085353682065707E-2</v>
      </c>
      <c r="BB75">
        <v>4.9737452945534E-4</v>
      </c>
      <c r="BD75" s="31" t="s">
        <v>1084</v>
      </c>
      <c r="BE75">
        <v>3.9539966461444598</v>
      </c>
      <c r="BF75">
        <v>8.8079168310748801E-2</v>
      </c>
      <c r="BG75">
        <v>9.1286444256932497E-2</v>
      </c>
      <c r="BH75">
        <v>8.2422017057328604E-4</v>
      </c>
    </row>
    <row r="76" spans="1:60" x14ac:dyDescent="0.25">
      <c r="A76" s="9" t="s">
        <v>171</v>
      </c>
      <c r="B76" s="2">
        <v>1.9491721298600799</v>
      </c>
      <c r="C76" s="2">
        <v>6.3994465753856297E-2</v>
      </c>
      <c r="D76" s="2">
        <v>0.18485737322686699</v>
      </c>
      <c r="E76" s="2">
        <v>6.4068651245492098E-3</v>
      </c>
      <c r="F76" s="2"/>
      <c r="M76" s="9" t="s">
        <v>298</v>
      </c>
      <c r="N76" s="2">
        <v>5.0054645248528704</v>
      </c>
      <c r="O76" s="2">
        <v>0.14085512933848701</v>
      </c>
      <c r="P76" s="2">
        <v>8.0126997584800394E-2</v>
      </c>
      <c r="Q76" s="2">
        <v>3.1054991227619402E-3</v>
      </c>
      <c r="R76" s="2"/>
      <c r="S76" s="7" t="s">
        <v>85</v>
      </c>
      <c r="T76" s="8">
        <v>8.977466558937067</v>
      </c>
      <c r="U76" s="4">
        <v>0.22727763440347007</v>
      </c>
      <c r="V76" s="4">
        <v>6.2509999999999996E-2</v>
      </c>
      <c r="W76" s="4">
        <v>1.3600000000000001E-3</v>
      </c>
      <c r="X76" s="4">
        <v>0.76100000000000001</v>
      </c>
      <c r="Z76" s="23" t="s">
        <v>468</v>
      </c>
      <c r="AA76" s="17">
        <v>5.5309455685639302</v>
      </c>
      <c r="AB76" s="17">
        <v>9.6946027392109904E-2</v>
      </c>
      <c r="AC76" s="17">
        <v>7.4940227116844296E-2</v>
      </c>
      <c r="AD76" s="17">
        <v>4.1926077520118202E-4</v>
      </c>
      <c r="AF76" s="25" t="s">
        <v>587</v>
      </c>
      <c r="AG76" s="15">
        <f t="shared" si="6"/>
        <v>0.1808009114542132</v>
      </c>
      <c r="AH76" s="15">
        <f t="shared" si="7"/>
        <v>6.3381314811635685E-3</v>
      </c>
      <c r="AI76" s="15">
        <v>0.10391</v>
      </c>
      <c r="AJ76" s="15">
        <f t="shared" si="8"/>
        <v>8.3852155040236404E-4</v>
      </c>
      <c r="AL76" s="29" t="s">
        <v>702</v>
      </c>
      <c r="AM76" s="19">
        <v>5.6233481414834392</v>
      </c>
      <c r="AN76">
        <v>0.11700156398520346</v>
      </c>
      <c r="AO76" s="20">
        <v>7.4130000000000001E-2</v>
      </c>
      <c r="AP76">
        <v>2.2399999999999998E-3</v>
      </c>
      <c r="AR76" s="31" t="s">
        <v>798</v>
      </c>
      <c r="AS76">
        <v>5.5357559230280398</v>
      </c>
      <c r="AT76">
        <v>6.3887638859208007E-2</v>
      </c>
      <c r="AU76">
        <v>7.4603594952655505E-2</v>
      </c>
      <c r="AV76">
        <v>6.8163746504988003E-4</v>
      </c>
      <c r="AX76" s="31" t="s">
        <v>936</v>
      </c>
      <c r="AY76">
        <v>5.0706386020784899</v>
      </c>
      <c r="AZ76">
        <v>4.49366420750823E-2</v>
      </c>
      <c r="BA76">
        <v>7.9023092618047699E-2</v>
      </c>
      <c r="BB76">
        <v>7.5609032527871104E-4</v>
      </c>
      <c r="BD76" s="31" t="s">
        <v>1085</v>
      </c>
      <c r="BE76">
        <v>3.9717388249382899</v>
      </c>
      <c r="BF76">
        <v>6.4518201520562798E-2</v>
      </c>
      <c r="BG76">
        <v>9.1061318296890001E-2</v>
      </c>
      <c r="BH76">
        <v>6.1116623261876096E-4</v>
      </c>
    </row>
    <row r="77" spans="1:60" x14ac:dyDescent="0.25">
      <c r="A77" s="9" t="s">
        <v>172</v>
      </c>
      <c r="B77" s="2">
        <v>4.9952647914841002</v>
      </c>
      <c r="C77" s="2">
        <v>0.16630699579890401</v>
      </c>
      <c r="D77" s="2">
        <v>7.9484481404228896E-2</v>
      </c>
      <c r="E77" s="2">
        <v>1.7791262635909199E-3</v>
      </c>
      <c r="F77" s="2"/>
      <c r="M77" s="9" t="s">
        <v>299</v>
      </c>
      <c r="N77" s="2">
        <v>4.80375205618245</v>
      </c>
      <c r="O77" s="2">
        <v>0.13551883370026499</v>
      </c>
      <c r="P77" s="2">
        <v>8.0845333004289394E-2</v>
      </c>
      <c r="Q77" s="2">
        <v>3.11504358509955E-3</v>
      </c>
      <c r="R77" s="2"/>
      <c r="S77" s="7" t="s">
        <v>86</v>
      </c>
      <c r="T77" s="8">
        <v>9.0187590187590185</v>
      </c>
      <c r="U77" s="4">
        <v>0.20985207673519357</v>
      </c>
      <c r="V77" s="4">
        <v>6.1960000000000001E-2</v>
      </c>
      <c r="W77" s="4">
        <v>1.4E-3</v>
      </c>
      <c r="X77" s="4">
        <v>0.71699999999999997</v>
      </c>
      <c r="Z77" s="23" t="s">
        <v>469</v>
      </c>
      <c r="AA77" s="17">
        <v>5.4856464826603597</v>
      </c>
      <c r="AB77" s="17">
        <v>9.5373474402216898E-2</v>
      </c>
      <c r="AC77" s="17">
        <v>7.4896298227513203E-2</v>
      </c>
      <c r="AD77" s="17">
        <v>3.0689306295105602E-4</v>
      </c>
      <c r="AF77" s="25" t="s">
        <v>588</v>
      </c>
      <c r="AG77" s="15">
        <f t="shared" si="6"/>
        <v>0.18229391980706577</v>
      </c>
      <c r="AH77" s="15">
        <f t="shared" si="7"/>
        <v>6.3387258181345002E-3</v>
      </c>
      <c r="AI77" s="15">
        <v>8.6749999999999994E-2</v>
      </c>
      <c r="AJ77" s="15">
        <f t="shared" si="8"/>
        <v>6.1378612590211204E-4</v>
      </c>
      <c r="AL77" s="29" t="s">
        <v>703</v>
      </c>
      <c r="AM77" s="19">
        <v>5.8792404021400442</v>
      </c>
      <c r="AN77">
        <v>0.12028782761742227</v>
      </c>
      <c r="AO77" s="20">
        <v>7.4120000000000005E-2</v>
      </c>
      <c r="AP77">
        <v>2.0400000000000006E-3</v>
      </c>
      <c r="AR77" s="31" t="s">
        <v>799</v>
      </c>
      <c r="AS77">
        <v>5.40210210775804</v>
      </c>
      <c r="AT77">
        <v>0.123894111746169</v>
      </c>
      <c r="AU77">
        <v>7.4733940160528006E-2</v>
      </c>
      <c r="AV77">
        <v>9.8704908782815907E-4</v>
      </c>
      <c r="AX77" s="31" t="s">
        <v>937</v>
      </c>
      <c r="AY77">
        <v>5.1394524384598004</v>
      </c>
      <c r="AZ77">
        <v>8.4625901588583394E-2</v>
      </c>
      <c r="BA77">
        <v>7.9141203168423602E-2</v>
      </c>
      <c r="BB77">
        <v>9.5974837304733398E-4</v>
      </c>
      <c r="BD77" s="31" t="s">
        <v>1086</v>
      </c>
      <c r="BE77">
        <v>3.8754653164973099</v>
      </c>
      <c r="BF77">
        <v>6.8168438293743305E-2</v>
      </c>
      <c r="BG77">
        <v>9.0967310338028406E-2</v>
      </c>
      <c r="BH77">
        <v>4.38675199027223E-4</v>
      </c>
    </row>
    <row r="78" spans="1:60" x14ac:dyDescent="0.25">
      <c r="A78" s="9" t="s">
        <v>173</v>
      </c>
      <c r="B78" s="2">
        <v>3.66439788414062</v>
      </c>
      <c r="C78" s="2">
        <v>0.158020609121651</v>
      </c>
      <c r="D78" s="2">
        <v>9.8292689594633303E-2</v>
      </c>
      <c r="E78" s="2">
        <v>4.5374045030547802E-3</v>
      </c>
      <c r="F78" s="2"/>
      <c r="M78" s="9" t="s">
        <v>300</v>
      </c>
      <c r="N78" s="2">
        <v>5.2642143887351001</v>
      </c>
      <c r="O78" s="2">
        <v>0.17406071977118501</v>
      </c>
      <c r="P78" s="2">
        <v>7.7594959779463096E-2</v>
      </c>
      <c r="Q78" s="2">
        <v>5.00740343271218E-3</v>
      </c>
      <c r="R78" s="2"/>
      <c r="S78" s="7" t="s">
        <v>87</v>
      </c>
      <c r="T78" s="8">
        <v>9.3049223038987634</v>
      </c>
      <c r="U78" s="4">
        <v>0.25628147408151425</v>
      </c>
      <c r="V78" s="4">
        <v>6.1260000000000002E-2</v>
      </c>
      <c r="W78" s="4">
        <v>1.74E-3</v>
      </c>
      <c r="X78" s="4">
        <v>0.69599999999999995</v>
      </c>
      <c r="Z78" s="23" t="s">
        <v>470</v>
      </c>
      <c r="AA78" s="17">
        <v>5.9107828641640001</v>
      </c>
      <c r="AB78" s="17">
        <v>0.182613191676706</v>
      </c>
      <c r="AC78" s="17">
        <v>7.4839472130838802E-2</v>
      </c>
      <c r="AD78" s="17">
        <v>5.1265109722730198E-4</v>
      </c>
      <c r="AF78" s="25" t="s">
        <v>589</v>
      </c>
      <c r="AG78" s="15">
        <f t="shared" si="6"/>
        <v>0.16918232710980094</v>
      </c>
      <c r="AH78" s="15">
        <f t="shared" si="7"/>
        <v>1.0453750523005524E-2</v>
      </c>
      <c r="AI78" s="15">
        <v>9.9610000000000004E-2</v>
      </c>
      <c r="AJ78" s="15">
        <f t="shared" si="8"/>
        <v>1.025302194454604E-3</v>
      </c>
      <c r="AL78" s="29" t="s">
        <v>704</v>
      </c>
      <c r="AM78" s="19">
        <v>5.6621935337749845</v>
      </c>
      <c r="AN78">
        <v>0.11477635949784519</v>
      </c>
      <c r="AO78" s="20">
        <v>7.4010000000000006E-2</v>
      </c>
      <c r="AP78">
        <v>1.98E-3</v>
      </c>
      <c r="AR78" s="31" t="s">
        <v>800</v>
      </c>
      <c r="AS78">
        <v>5.5251714522788804</v>
      </c>
      <c r="AT78">
        <v>0.10116164295765399</v>
      </c>
      <c r="AU78">
        <v>7.4329403892140197E-2</v>
      </c>
      <c r="AV78">
        <v>4.2816382799609602E-4</v>
      </c>
      <c r="AX78" s="31" t="s">
        <v>938</v>
      </c>
      <c r="AY78">
        <v>5.4328046311774703</v>
      </c>
      <c r="AZ78">
        <v>4.3406109722421697E-2</v>
      </c>
      <c r="BA78">
        <v>7.8778104914744601E-2</v>
      </c>
      <c r="BB78">
        <v>6.1567740401717998E-4</v>
      </c>
      <c r="BD78" s="31" t="s">
        <v>1087</v>
      </c>
      <c r="BE78">
        <v>3.7631391223333202</v>
      </c>
      <c r="BF78">
        <v>0.156693947423201</v>
      </c>
      <c r="BG78">
        <v>9.0981078520343706E-2</v>
      </c>
      <c r="BH78">
        <v>1.24658791753071E-3</v>
      </c>
    </row>
    <row r="79" spans="1:60" x14ac:dyDescent="0.25">
      <c r="A79" s="9" t="s">
        <v>174</v>
      </c>
      <c r="B79" s="2">
        <v>4.2367417727394701</v>
      </c>
      <c r="C79" s="2">
        <v>0.154026559907849</v>
      </c>
      <c r="D79" s="2">
        <v>8.9104046718327806E-2</v>
      </c>
      <c r="E79" s="2">
        <v>3.9104810018767899E-3</v>
      </c>
      <c r="F79" s="2"/>
      <c r="M79" s="9" t="s">
        <v>301</v>
      </c>
      <c r="N79" s="2">
        <v>5.15165575766689</v>
      </c>
      <c r="O79" s="2">
        <v>0.151867086080445</v>
      </c>
      <c r="P79" s="2">
        <v>7.84080861614182E-2</v>
      </c>
      <c r="Q79" s="2">
        <v>3.3943254406221699E-3</v>
      </c>
      <c r="R79" s="2"/>
      <c r="S79" s="7" t="s">
        <v>88</v>
      </c>
      <c r="T79" s="8">
        <v>9.4535829079221028</v>
      </c>
      <c r="U79" s="4">
        <v>0.30207137671371442</v>
      </c>
      <c r="V79" s="4">
        <v>6.1780000000000002E-2</v>
      </c>
      <c r="W79" s="4">
        <v>1.72E-3</v>
      </c>
      <c r="X79" s="4">
        <v>0.754</v>
      </c>
      <c r="Z79" s="23" t="s">
        <v>471</v>
      </c>
      <c r="AA79" s="17">
        <v>5.3258614074968698</v>
      </c>
      <c r="AB79" s="17">
        <v>0.202732291446139</v>
      </c>
      <c r="AC79" s="17">
        <v>7.4796218038235399E-2</v>
      </c>
      <c r="AD79" s="17">
        <v>4.65788926634999E-4</v>
      </c>
      <c r="AF79" s="25" t="s">
        <v>590</v>
      </c>
      <c r="AG79" s="15">
        <f t="shared" si="6"/>
        <v>0.18776305342688129</v>
      </c>
      <c r="AH79" s="15">
        <f t="shared" si="7"/>
        <v>1.4294639367285427E-2</v>
      </c>
      <c r="AI79" s="15">
        <v>0.11316</v>
      </c>
      <c r="AJ79" s="15">
        <f t="shared" si="8"/>
        <v>9.3157785326999801E-4</v>
      </c>
      <c r="AL79" s="29" t="s">
        <v>705</v>
      </c>
      <c r="AM79" s="19">
        <v>5.8997050147492622</v>
      </c>
      <c r="AN79">
        <v>0.11694990471715351</v>
      </c>
      <c r="AO79" s="20">
        <v>7.3690000000000005E-2</v>
      </c>
      <c r="AP79">
        <v>1.6800000000000001E-3</v>
      </c>
      <c r="AR79" s="31" t="s">
        <v>801</v>
      </c>
      <c r="AS79">
        <v>5.5178976616649198</v>
      </c>
      <c r="AT79">
        <v>7.4963487309031601E-2</v>
      </c>
      <c r="AU79">
        <v>7.4476877650665699E-2</v>
      </c>
      <c r="AV79">
        <v>7.38917287988199E-4</v>
      </c>
      <c r="AX79" s="31" t="s">
        <v>939</v>
      </c>
      <c r="AY79">
        <v>5.1786139443314996</v>
      </c>
      <c r="AZ79">
        <v>5.3611872415726201E-2</v>
      </c>
      <c r="BA79">
        <v>7.8728236474643207E-2</v>
      </c>
      <c r="BB79">
        <v>5.2011478377475204E-4</v>
      </c>
      <c r="BD79" s="31" t="s">
        <v>1088</v>
      </c>
      <c r="BE79">
        <v>4.0438142142260904</v>
      </c>
      <c r="BF79">
        <v>7.1575967428682996E-2</v>
      </c>
      <c r="BG79">
        <v>8.9931410163303901E-2</v>
      </c>
      <c r="BH79">
        <v>3.5880672949724601E-4</v>
      </c>
    </row>
    <row r="80" spans="1:60" x14ac:dyDescent="0.25">
      <c r="A80" s="9" t="s">
        <v>175</v>
      </c>
      <c r="B80" s="2">
        <v>5.5563478441251499</v>
      </c>
      <c r="C80" s="2">
        <v>0.16654067581329801</v>
      </c>
      <c r="D80" s="2">
        <v>7.5568620257883204E-2</v>
      </c>
      <c r="E80" s="2">
        <v>2.7304770325247002E-3</v>
      </c>
      <c r="F80" s="2"/>
      <c r="M80" s="9" t="s">
        <v>302</v>
      </c>
      <c r="N80" s="2">
        <v>5.1564122631306697</v>
      </c>
      <c r="O80" s="2">
        <v>0.150042330000802</v>
      </c>
      <c r="P80" s="2">
        <v>8.0016221600361995E-2</v>
      </c>
      <c r="Q80" s="2">
        <v>4.1785031689731203E-3</v>
      </c>
      <c r="R80" s="2"/>
      <c r="S80" s="7" t="s">
        <v>89</v>
      </c>
      <c r="T80" s="8">
        <v>9.7427903351519873</v>
      </c>
      <c r="U80" s="4">
        <v>0.25628930148977369</v>
      </c>
      <c r="V80" s="4">
        <v>6.089E-2</v>
      </c>
      <c r="W80" s="4">
        <v>1.34E-3</v>
      </c>
      <c r="X80" s="4">
        <v>0.77</v>
      </c>
      <c r="Z80" s="23" t="s">
        <v>472</v>
      </c>
      <c r="AA80" s="17">
        <v>5.5863393599422801</v>
      </c>
      <c r="AB80" s="17">
        <v>0.174349559638002</v>
      </c>
      <c r="AC80" s="17">
        <v>7.4836696226480703E-2</v>
      </c>
      <c r="AD80" s="17">
        <v>6.1987232640838799E-4</v>
      </c>
      <c r="AF80" s="25" t="s">
        <v>591</v>
      </c>
      <c r="AG80" s="15">
        <f t="shared" si="6"/>
        <v>0.17900810093469371</v>
      </c>
      <c r="AH80" s="15">
        <f t="shared" si="7"/>
        <v>1.1173679777993772E-2</v>
      </c>
      <c r="AI80" s="15">
        <v>9.5000000000000001E-2</v>
      </c>
      <c r="AJ80" s="15">
        <f t="shared" si="8"/>
        <v>1.239744652816776E-3</v>
      </c>
      <c r="AL80" s="29" t="s">
        <v>706</v>
      </c>
      <c r="AM80" s="19">
        <v>5.8510327072728332</v>
      </c>
      <c r="AN80">
        <v>0.11982104309551762</v>
      </c>
      <c r="AO80" s="20">
        <v>7.356E-2</v>
      </c>
      <c r="AP80">
        <v>2.0400000000000001E-3</v>
      </c>
      <c r="AR80" s="31" t="s">
        <v>802</v>
      </c>
      <c r="AS80">
        <v>5.5651094468887896</v>
      </c>
      <c r="AT80">
        <v>8.9885493261039007E-2</v>
      </c>
      <c r="AU80">
        <v>7.4354487942424802E-2</v>
      </c>
      <c r="AV80">
        <v>7.0437812746537102E-4</v>
      </c>
      <c r="AX80" s="31" t="s">
        <v>940</v>
      </c>
      <c r="AY80">
        <v>5.2664517549905199</v>
      </c>
      <c r="AZ80">
        <v>7.3949501533659104E-2</v>
      </c>
      <c r="BA80">
        <v>7.8673483366908006E-2</v>
      </c>
      <c r="BB80">
        <v>3.16615861465434E-4</v>
      </c>
      <c r="BD80" s="31" t="s">
        <v>1089</v>
      </c>
      <c r="BE80">
        <v>4.3794211402938696</v>
      </c>
      <c r="BF80">
        <v>8.0060324326743398E-2</v>
      </c>
      <c r="BG80">
        <v>8.9983959063527505E-2</v>
      </c>
      <c r="BH80">
        <v>6.7087069694244305E-4</v>
      </c>
    </row>
    <row r="81" spans="1:60" x14ac:dyDescent="0.25">
      <c r="A81" s="9" t="s">
        <v>176</v>
      </c>
      <c r="B81" s="2">
        <v>4.1135297093026502</v>
      </c>
      <c r="C81" s="2">
        <v>0.16539938903798301</v>
      </c>
      <c r="D81" s="2">
        <v>9.0464269943660497E-2</v>
      </c>
      <c r="E81" s="2">
        <v>3.7638303908691102E-3</v>
      </c>
      <c r="F81" s="2"/>
      <c r="M81" s="9" t="s">
        <v>303</v>
      </c>
      <c r="N81" s="2">
        <v>3.5855142138573801</v>
      </c>
      <c r="O81" s="2">
        <v>0.16681660453167499</v>
      </c>
      <c r="P81" s="2">
        <v>9.9239602490211895E-2</v>
      </c>
      <c r="Q81" s="2">
        <v>7.21446558870614E-3</v>
      </c>
      <c r="R81" s="2"/>
      <c r="S81" s="7" t="s">
        <v>90</v>
      </c>
      <c r="T81" s="8">
        <v>10.208248264597794</v>
      </c>
      <c r="U81" s="4">
        <v>0.25426833162125984</v>
      </c>
      <c r="V81" s="4">
        <v>6.0310000000000002E-2</v>
      </c>
      <c r="W81" s="4">
        <v>1.3600000000000001E-3</v>
      </c>
      <c r="X81" s="4">
        <v>0.74</v>
      </c>
      <c r="Z81" s="23" t="s">
        <v>473</v>
      </c>
      <c r="AA81" s="17">
        <v>5.6305312003440404</v>
      </c>
      <c r="AB81" s="17">
        <v>0.175001671378756</v>
      </c>
      <c r="AC81" s="17">
        <v>7.4743706838472701E-2</v>
      </c>
      <c r="AD81" s="17">
        <v>4.09600756260189E-4</v>
      </c>
      <c r="AF81" s="25" t="s">
        <v>592</v>
      </c>
      <c r="AG81" s="15">
        <f t="shared" si="6"/>
        <v>0.17760313626161903</v>
      </c>
      <c r="AH81" s="15">
        <f t="shared" si="7"/>
        <v>1.1040111343666174E-2</v>
      </c>
      <c r="AI81" s="15">
        <v>0.10006</v>
      </c>
      <c r="AJ81" s="15">
        <f t="shared" si="8"/>
        <v>8.19201512520378E-4</v>
      </c>
      <c r="AL81" s="29" t="s">
        <v>707</v>
      </c>
      <c r="AM81" s="19">
        <v>5.6208195154853575</v>
      </c>
      <c r="AN81">
        <v>0.11247325881135332</v>
      </c>
      <c r="AO81" s="20">
        <v>7.3440000000000005E-2</v>
      </c>
      <c r="AP81">
        <v>1.7799999999999999E-3</v>
      </c>
      <c r="AR81" s="31" t="s">
        <v>803</v>
      </c>
      <c r="AS81">
        <v>5.6124671532824797</v>
      </c>
      <c r="AT81">
        <v>7.8799553543348902E-2</v>
      </c>
      <c r="AU81">
        <v>7.4064610931602895E-2</v>
      </c>
      <c r="AV81">
        <v>3.2856712072552201E-4</v>
      </c>
      <c r="AX81" s="31" t="s">
        <v>941</v>
      </c>
      <c r="AY81">
        <v>5.4938673439049603</v>
      </c>
      <c r="AZ81">
        <v>8.6935935310973003E-2</v>
      </c>
      <c r="BA81">
        <v>7.85210434269695E-2</v>
      </c>
      <c r="BB81">
        <v>4.29269910876082E-4</v>
      </c>
      <c r="BD81" s="31" t="s">
        <v>1090</v>
      </c>
      <c r="BE81">
        <v>3.95665831524181</v>
      </c>
      <c r="BF81">
        <v>6.8394281179154304E-2</v>
      </c>
      <c r="BG81">
        <v>8.9622096183606503E-2</v>
      </c>
      <c r="BH81">
        <v>5.2385942999627405E-4</v>
      </c>
    </row>
    <row r="82" spans="1:60" x14ac:dyDescent="0.25">
      <c r="A82" s="9" t="s">
        <v>177</v>
      </c>
      <c r="B82" s="2">
        <v>5.9536302736075797</v>
      </c>
      <c r="C82" s="2">
        <v>0.16350122172124301</v>
      </c>
      <c r="D82" s="2">
        <v>7.4136451747559701E-2</v>
      </c>
      <c r="E82" s="2">
        <v>2.43800299187346E-3</v>
      </c>
      <c r="F82" s="2"/>
      <c r="M82" s="9" t="s">
        <v>304</v>
      </c>
      <c r="N82" s="2">
        <v>5.7911111639477504</v>
      </c>
      <c r="O82" s="2">
        <v>0.19100476375924699</v>
      </c>
      <c r="P82" s="2">
        <v>7.4681012943804706E-2</v>
      </c>
      <c r="Q82" s="2">
        <v>3.9856415954442398E-3</v>
      </c>
      <c r="R82" s="2"/>
      <c r="S82" s="7" t="s">
        <v>91</v>
      </c>
      <c r="T82" s="8">
        <v>10.520778537611784</v>
      </c>
      <c r="U82" s="4">
        <v>0.25457959638618727</v>
      </c>
      <c r="V82" s="4">
        <v>5.9369999999999999E-2</v>
      </c>
      <c r="W82" s="4">
        <v>1.34E-3</v>
      </c>
      <c r="X82" s="4">
        <v>0.73199999999999998</v>
      </c>
      <c r="Z82" s="23" t="s">
        <v>474</v>
      </c>
      <c r="AA82" s="17">
        <v>5.7909150968388099</v>
      </c>
      <c r="AB82" s="17">
        <v>0.22256303905286901</v>
      </c>
      <c r="AC82" s="17">
        <v>7.4679889498801E-2</v>
      </c>
      <c r="AD82" s="17">
        <v>2.37941567177712E-4</v>
      </c>
      <c r="AF82" s="25" t="s">
        <v>593</v>
      </c>
      <c r="AG82" s="15">
        <f t="shared" si="6"/>
        <v>0.17268427930257307</v>
      </c>
      <c r="AH82" s="15">
        <f t="shared" si="7"/>
        <v>1.3273597473123131E-2</v>
      </c>
      <c r="AI82" s="15">
        <v>0.1027</v>
      </c>
      <c r="AJ82" s="15">
        <f t="shared" si="8"/>
        <v>4.75883134355424E-4</v>
      </c>
      <c r="AL82" s="29" t="s">
        <v>708</v>
      </c>
      <c r="AM82" s="19">
        <v>5.7234432234432235</v>
      </c>
      <c r="AN82">
        <v>0.11596262025520265</v>
      </c>
      <c r="AO82" s="20">
        <v>7.3429999999999995E-2</v>
      </c>
      <c r="AP82">
        <v>1.9E-3</v>
      </c>
      <c r="AR82" s="31" t="s">
        <v>804</v>
      </c>
      <c r="AS82">
        <v>5.6726848325973798</v>
      </c>
      <c r="AT82">
        <v>5.83383007211652E-2</v>
      </c>
      <c r="AU82">
        <v>7.4073377267965299E-2</v>
      </c>
      <c r="AV82">
        <v>4.5823768422918802E-4</v>
      </c>
      <c r="AX82" s="31" t="s">
        <v>942</v>
      </c>
      <c r="AY82">
        <v>5.2473558273320897</v>
      </c>
      <c r="AZ82">
        <v>0.18388363122627599</v>
      </c>
      <c r="BA82">
        <v>7.7839849643798503E-2</v>
      </c>
      <c r="BB82">
        <v>1.19564527295718E-3</v>
      </c>
      <c r="BD82" s="31" t="s">
        <v>1091</v>
      </c>
      <c r="BE82">
        <v>4.3043089086149298</v>
      </c>
      <c r="BF82">
        <v>6.4698948269769394E-2</v>
      </c>
      <c r="BG82">
        <v>8.8409334222574701E-2</v>
      </c>
      <c r="BH82">
        <v>2.70045755919344E-4</v>
      </c>
    </row>
    <row r="83" spans="1:60" x14ac:dyDescent="0.25">
      <c r="A83" s="9" t="s">
        <v>178</v>
      </c>
      <c r="B83" s="2">
        <v>3.5655366177412602</v>
      </c>
      <c r="C83" s="2">
        <v>0.102132368106675</v>
      </c>
      <c r="D83" s="2">
        <v>9.9194989970266795E-2</v>
      </c>
      <c r="E83" s="2">
        <v>2.7121799232858799E-3</v>
      </c>
      <c r="F83" s="2"/>
      <c r="M83" s="9" t="s">
        <v>305</v>
      </c>
      <c r="N83" s="2">
        <v>5.3923722666958298</v>
      </c>
      <c r="O83" s="2">
        <v>0.16652445877400701</v>
      </c>
      <c r="P83" s="2">
        <v>7.5669027783178203E-2</v>
      </c>
      <c r="Q83" s="2">
        <v>4.6093000047543803E-3</v>
      </c>
      <c r="R83" s="2"/>
      <c r="S83" s="7" t="s">
        <v>92</v>
      </c>
      <c r="T83" s="8">
        <v>10.688328345446772</v>
      </c>
      <c r="U83" s="4">
        <v>0.22848072564016186</v>
      </c>
      <c r="V83" s="4">
        <v>5.8549999999999998E-2</v>
      </c>
      <c r="W83" s="4">
        <v>1.2199999999999999E-3</v>
      </c>
      <c r="X83" s="4">
        <v>0.71399999999999997</v>
      </c>
      <c r="Z83" s="23" t="s">
        <v>475</v>
      </c>
      <c r="AA83" s="17">
        <v>5.7037604132463304</v>
      </c>
      <c r="AB83" s="17">
        <v>0.215425639799078</v>
      </c>
      <c r="AC83" s="17">
        <v>7.4648288736167107E-2</v>
      </c>
      <c r="AD83" s="17">
        <v>3.3433923334319699E-4</v>
      </c>
      <c r="AF83" s="25" t="s">
        <v>594</v>
      </c>
      <c r="AG83" s="15">
        <f t="shared" si="6"/>
        <v>0.17532293216201972</v>
      </c>
      <c r="AH83" s="15">
        <f t="shared" si="7"/>
        <v>1.3243562876427677E-2</v>
      </c>
      <c r="AI83" s="15">
        <v>0.11276</v>
      </c>
      <c r="AJ83" s="15">
        <f t="shared" si="8"/>
        <v>6.6867846668639398E-4</v>
      </c>
      <c r="AL83" s="29" t="s">
        <v>709</v>
      </c>
      <c r="AM83" s="19">
        <v>5.8678558854594538</v>
      </c>
      <c r="AN83">
        <v>0.12188833373152487</v>
      </c>
      <c r="AO83" s="20">
        <v>7.2770000000000001E-2</v>
      </c>
      <c r="AP83">
        <v>2.1800000000000005E-3</v>
      </c>
      <c r="AR83" s="31" t="s">
        <v>805</v>
      </c>
      <c r="AS83">
        <v>5.4454612571466097</v>
      </c>
      <c r="AT83">
        <v>5.3064714426201399E-2</v>
      </c>
      <c r="AU83">
        <v>7.4065838465188605E-2</v>
      </c>
      <c r="AV83">
        <v>4.6635042158097101E-4</v>
      </c>
      <c r="AX83" s="31" t="s">
        <v>943</v>
      </c>
      <c r="AY83">
        <v>5.2517224232000004</v>
      </c>
      <c r="AZ83">
        <v>4.4619172013445903E-2</v>
      </c>
      <c r="BA83">
        <v>7.7408536671229294E-2</v>
      </c>
      <c r="BB83">
        <v>7.4346973117524803E-4</v>
      </c>
      <c r="BD83" s="31" t="s">
        <v>1092</v>
      </c>
      <c r="BE83">
        <v>4.3893056209383596</v>
      </c>
      <c r="BF83">
        <v>5.0502982872387601E-2</v>
      </c>
      <c r="BG83">
        <v>8.8210543115511894E-2</v>
      </c>
      <c r="BH83">
        <v>5.4614324384219201E-4</v>
      </c>
    </row>
    <row r="84" spans="1:60" x14ac:dyDescent="0.25">
      <c r="A84" s="9" t="s">
        <v>179</v>
      </c>
      <c r="B84" s="2">
        <v>5.5831245203106201</v>
      </c>
      <c r="C84" s="2">
        <v>0.17021971258167701</v>
      </c>
      <c r="D84" s="2">
        <v>7.5450734157044202E-2</v>
      </c>
      <c r="E84" s="2">
        <v>3.2136028429230802E-3</v>
      </c>
      <c r="F84" s="2"/>
      <c r="M84" s="9" t="s">
        <v>306</v>
      </c>
      <c r="N84" s="2">
        <v>1.85171548531498</v>
      </c>
      <c r="O84" s="2">
        <v>7.1640982984937304E-2</v>
      </c>
      <c r="P84" s="2">
        <v>0.194970189893935</v>
      </c>
      <c r="Q84" s="2">
        <v>1.2575685306704E-2</v>
      </c>
      <c r="R84" s="2"/>
      <c r="S84" s="7" t="s">
        <v>93</v>
      </c>
      <c r="T84" s="8">
        <v>10.849517196484756</v>
      </c>
      <c r="U84" s="4">
        <v>0.26602917287680966</v>
      </c>
      <c r="V84" s="4">
        <v>5.9159999999999997E-2</v>
      </c>
      <c r="W84" s="4">
        <v>1.3799999999999999E-3</v>
      </c>
      <c r="X84" s="4">
        <v>0.72499999999999998</v>
      </c>
      <c r="Z84" s="23" t="s">
        <v>476</v>
      </c>
      <c r="AA84" s="17">
        <v>5.5862647172440596</v>
      </c>
      <c r="AB84" s="17">
        <v>0.103469995850413</v>
      </c>
      <c r="AC84" s="17">
        <v>7.4534347068829596E-2</v>
      </c>
      <c r="AD84" s="17">
        <v>5.19936801033884E-4</v>
      </c>
      <c r="AF84" s="25" t="s">
        <v>595</v>
      </c>
      <c r="AG84" s="15">
        <f t="shared" si="6"/>
        <v>0.17901049280982556</v>
      </c>
      <c r="AH84" s="15">
        <f t="shared" si="7"/>
        <v>6.6313416516182678E-3</v>
      </c>
      <c r="AI84" s="15">
        <v>8.6889999999999995E-2</v>
      </c>
      <c r="AJ84" s="15">
        <f t="shared" si="8"/>
        <v>1.039873602067768E-3</v>
      </c>
      <c r="AL84" s="29" t="s">
        <v>710</v>
      </c>
      <c r="AM84" s="19">
        <v>5.7803468208092488</v>
      </c>
      <c r="AN84">
        <v>0.11493868822880819</v>
      </c>
      <c r="AO84" s="20">
        <v>7.2749999999999995E-2</v>
      </c>
      <c r="AP84">
        <v>1.6200000000000001E-3</v>
      </c>
      <c r="AR84" s="31" t="s">
        <v>806</v>
      </c>
      <c r="AS84">
        <v>5.6154936848166797</v>
      </c>
      <c r="AT84">
        <v>0.10443779950132601</v>
      </c>
      <c r="AU84">
        <v>7.4096280173038195E-2</v>
      </c>
      <c r="AV84">
        <v>7.48878867277301E-4</v>
      </c>
      <c r="AX84" s="31" t="s">
        <v>944</v>
      </c>
      <c r="AY84">
        <v>5.3201398882262696</v>
      </c>
      <c r="AZ84">
        <v>4.1166969426504003E-2</v>
      </c>
      <c r="BA84">
        <v>7.7206295782483295E-2</v>
      </c>
      <c r="BB84">
        <v>7.0081499571597605E-4</v>
      </c>
      <c r="BD84" s="31" t="s">
        <v>1093</v>
      </c>
      <c r="BE84">
        <v>4.3516045887400798</v>
      </c>
      <c r="BF84">
        <v>8.2781662548444698E-2</v>
      </c>
      <c r="BG84">
        <v>8.6521610527337603E-2</v>
      </c>
      <c r="BH84">
        <v>7.34393873581713E-4</v>
      </c>
    </row>
    <row r="85" spans="1:60" x14ac:dyDescent="0.25">
      <c r="A85" s="9" t="s">
        <v>180</v>
      </c>
      <c r="B85" s="2">
        <v>3.61461851650613</v>
      </c>
      <c r="C85" s="2">
        <v>0.11894725599900199</v>
      </c>
      <c r="D85" s="2">
        <v>9.8896587589141396E-2</v>
      </c>
      <c r="E85" s="2">
        <v>3.3947012489593501E-3</v>
      </c>
      <c r="F85" s="2"/>
      <c r="M85" s="9" t="s">
        <v>307</v>
      </c>
      <c r="N85" s="2">
        <v>5.2970972943721799</v>
      </c>
      <c r="O85" s="2">
        <v>0.178784914399471</v>
      </c>
      <c r="P85" s="2">
        <v>7.7916079855959594E-2</v>
      </c>
      <c r="Q85" s="2">
        <v>4.9819831727383902E-3</v>
      </c>
      <c r="R85" s="2"/>
      <c r="S85" s="7" t="s">
        <v>94</v>
      </c>
      <c r="T85" s="8">
        <v>11.209505660800358</v>
      </c>
      <c r="U85" s="4">
        <v>0.27392357740774331</v>
      </c>
      <c r="V85" s="4">
        <v>5.8689999999999999E-2</v>
      </c>
      <c r="W85" s="4">
        <v>1.72E-3</v>
      </c>
      <c r="X85" s="4">
        <v>0.64100000000000001</v>
      </c>
      <c r="Z85" s="23" t="s">
        <v>477</v>
      </c>
      <c r="AA85" s="17">
        <v>5.7004166862032397</v>
      </c>
      <c r="AB85" s="17">
        <v>0.21952737534861999</v>
      </c>
      <c r="AC85" s="17">
        <v>7.4439455243624802E-2</v>
      </c>
      <c r="AD85" s="17">
        <v>7.1572732681088097E-4</v>
      </c>
      <c r="AF85" s="25" t="s">
        <v>596</v>
      </c>
      <c r="AG85" s="15">
        <f t="shared" si="6"/>
        <v>0.17542577236858972</v>
      </c>
      <c r="AH85" s="15">
        <f t="shared" si="7"/>
        <v>1.3511559416275248E-2</v>
      </c>
      <c r="AI85" s="15">
        <v>8.3080000000000001E-2</v>
      </c>
      <c r="AJ85" s="15">
        <f t="shared" si="8"/>
        <v>1.4314546536217619E-3</v>
      </c>
      <c r="AL85" s="29" t="s">
        <v>711</v>
      </c>
      <c r="AM85" s="19">
        <v>6.121074860745547</v>
      </c>
      <c r="AN85">
        <v>0.12589099303485979</v>
      </c>
      <c r="AO85" s="20">
        <v>7.1679999999999994E-2</v>
      </c>
      <c r="AP85">
        <v>1.9599999999999999E-3</v>
      </c>
      <c r="AR85" s="31" t="s">
        <v>807</v>
      </c>
      <c r="AS85">
        <v>5.7082708740798198</v>
      </c>
      <c r="AT85">
        <v>9.6809266485901796E-2</v>
      </c>
      <c r="AU85">
        <v>7.4122613475190904E-2</v>
      </c>
      <c r="AV85">
        <v>9.1093689973314302E-4</v>
      </c>
      <c r="AX85" s="31" t="s">
        <v>945</v>
      </c>
      <c r="AY85">
        <v>5.7183514083511602</v>
      </c>
      <c r="AZ85">
        <v>4.4936994782112001E-2</v>
      </c>
      <c r="BA85">
        <v>7.6925596500616006E-2</v>
      </c>
      <c r="BB85">
        <v>7.1943336726228895E-4</v>
      </c>
      <c r="BD85" s="31" t="s">
        <v>1094</v>
      </c>
      <c r="BE85">
        <v>4.32079690805885</v>
      </c>
      <c r="BF85">
        <v>7.8260628625780607E-2</v>
      </c>
      <c r="BG85">
        <v>8.5825665470416798E-2</v>
      </c>
      <c r="BH85">
        <v>4.0041451088787799E-4</v>
      </c>
    </row>
    <row r="86" spans="1:60" x14ac:dyDescent="0.25">
      <c r="A86" s="9" t="s">
        <v>181</v>
      </c>
      <c r="B86" s="2">
        <v>3.4588344502843298</v>
      </c>
      <c r="C86" s="2">
        <v>0.114150364753277</v>
      </c>
      <c r="D86" s="2">
        <v>0.101992026121277</v>
      </c>
      <c r="E86" s="2">
        <v>4.0545076001605E-3</v>
      </c>
      <c r="F86" s="2"/>
      <c r="M86" s="9" t="s">
        <v>308</v>
      </c>
      <c r="N86" s="2">
        <v>3.5150586580877099</v>
      </c>
      <c r="O86" s="2">
        <v>9.6018587204999797E-2</v>
      </c>
      <c r="P86" s="2">
        <v>0.100261445646149</v>
      </c>
      <c r="Q86" s="2">
        <v>3.2066125229065598E-3</v>
      </c>
      <c r="R86" s="2"/>
      <c r="S86" s="7" t="s">
        <v>95</v>
      </c>
      <c r="T86" s="8">
        <v>11.353315168029063</v>
      </c>
      <c r="U86" s="4">
        <v>0.33771214509804887</v>
      </c>
      <c r="V86" s="4">
        <v>5.8840000000000003E-2</v>
      </c>
      <c r="W86" s="4">
        <v>1.56E-3</v>
      </c>
      <c r="X86" s="4">
        <v>0.746</v>
      </c>
      <c r="Z86" s="23" t="s">
        <v>478</v>
      </c>
      <c r="AA86" s="17">
        <v>5.8194566912245502</v>
      </c>
      <c r="AB86" s="17">
        <v>0.175912703101607</v>
      </c>
      <c r="AC86" s="17">
        <v>7.4374963701060601E-2</v>
      </c>
      <c r="AD86" s="17">
        <v>3.95544780320771E-4</v>
      </c>
      <c r="AF86" s="25" t="s">
        <v>597</v>
      </c>
      <c r="AG86" s="15">
        <f t="shared" si="6"/>
        <v>0.17183734720595997</v>
      </c>
      <c r="AH86" s="15">
        <f t="shared" si="7"/>
        <v>1.0388726592430069E-2</v>
      </c>
      <c r="AI86" s="15">
        <v>8.3470000000000003E-2</v>
      </c>
      <c r="AJ86" s="15">
        <f t="shared" si="8"/>
        <v>7.9108956064154201E-4</v>
      </c>
      <c r="AL86" s="29" t="s">
        <v>712</v>
      </c>
      <c r="AM86" s="19">
        <v>6.3000063000062996</v>
      </c>
      <c r="AN86">
        <v>0.12700825401638102</v>
      </c>
      <c r="AO86" s="20">
        <v>7.152E-2</v>
      </c>
      <c r="AP86">
        <v>1.64E-3</v>
      </c>
      <c r="AR86" s="31" t="s">
        <v>808</v>
      </c>
      <c r="AS86">
        <v>5.70609595795624</v>
      </c>
      <c r="AT86">
        <v>8.2106477141501502E-2</v>
      </c>
      <c r="AU86">
        <v>7.3964219073209506E-2</v>
      </c>
      <c r="AV86">
        <v>2.6054091356897603E-4</v>
      </c>
      <c r="AX86" s="31" t="s">
        <v>946</v>
      </c>
      <c r="AY86">
        <v>5.3619520783990096</v>
      </c>
      <c r="AZ86">
        <v>5.7266490680565399E-2</v>
      </c>
      <c r="BA86">
        <v>7.6284977176254501E-2</v>
      </c>
      <c r="BB86">
        <v>5.5253925502294504E-4</v>
      </c>
      <c r="BD86" s="31" t="s">
        <v>1095</v>
      </c>
      <c r="BE86">
        <v>4.5119807960169904</v>
      </c>
      <c r="BF86">
        <v>6.9881570498974394E-2</v>
      </c>
      <c r="BG86">
        <v>8.4942297767313699E-2</v>
      </c>
      <c r="BH86">
        <v>3.7303882343172099E-4</v>
      </c>
    </row>
    <row r="87" spans="1:60" x14ac:dyDescent="0.25">
      <c r="A87" s="9" t="s">
        <v>182</v>
      </c>
      <c r="B87" s="2">
        <v>2.7085326431438501</v>
      </c>
      <c r="C87" s="2">
        <v>9.5269584919351696E-2</v>
      </c>
      <c r="D87" s="2">
        <v>0.128590433876074</v>
      </c>
      <c r="E87" s="2">
        <v>5.4946175454259E-3</v>
      </c>
      <c r="F87" s="2"/>
      <c r="M87" s="9" t="s">
        <v>309</v>
      </c>
      <c r="N87" s="2">
        <v>5.8071744131359999</v>
      </c>
      <c r="O87" s="2">
        <v>0.16236209828190201</v>
      </c>
      <c r="P87" s="2">
        <v>7.3154366705505E-2</v>
      </c>
      <c r="Q87" s="2">
        <v>3.7234356770059398E-3</v>
      </c>
      <c r="R87" s="2"/>
      <c r="S87" s="7" t="s">
        <v>96</v>
      </c>
      <c r="T87" s="8">
        <v>11.427265455376528</v>
      </c>
      <c r="U87" s="4">
        <v>0.30817445405883448</v>
      </c>
      <c r="V87" s="4">
        <v>5.8400000000000001E-2</v>
      </c>
      <c r="W87" s="4">
        <v>1.4E-3</v>
      </c>
      <c r="X87" s="4">
        <v>0.745</v>
      </c>
      <c r="Z87" s="23" t="s">
        <v>479</v>
      </c>
      <c r="AA87" s="17">
        <v>5.6998192961299798</v>
      </c>
      <c r="AB87" s="17">
        <v>9.91245500388655E-2</v>
      </c>
      <c r="AC87" s="17">
        <v>7.4224040394453697E-2</v>
      </c>
      <c r="AD87" s="17">
        <v>3.3935874759432802E-4</v>
      </c>
      <c r="AF87" s="25" t="s">
        <v>598</v>
      </c>
      <c r="AG87" s="15">
        <f t="shared" si="6"/>
        <v>0.17544415849796718</v>
      </c>
      <c r="AH87" s="15">
        <f t="shared" si="7"/>
        <v>6.1022367077027467E-3</v>
      </c>
      <c r="AI87" s="15">
        <v>9.7299999999999998E-2</v>
      </c>
      <c r="AJ87" s="15">
        <f t="shared" si="8"/>
        <v>6.7871749518865604E-4</v>
      </c>
      <c r="AL87" s="29" t="s">
        <v>713</v>
      </c>
      <c r="AM87" s="19">
        <v>6.2328596360009971</v>
      </c>
      <c r="AN87">
        <v>0.12664623792921498</v>
      </c>
      <c r="AO87" s="20">
        <v>7.1199999999999999E-2</v>
      </c>
      <c r="AP87">
        <v>1.7399999999999996E-3</v>
      </c>
      <c r="AR87" s="31" t="s">
        <v>809</v>
      </c>
      <c r="AS87">
        <v>5.6063274451716403</v>
      </c>
      <c r="AT87">
        <v>7.6183836152968004E-2</v>
      </c>
      <c r="AU87">
        <v>7.3977340639680103E-2</v>
      </c>
      <c r="AV87">
        <v>4.49998990369438E-4</v>
      </c>
      <c r="AX87" s="31" t="s">
        <v>947</v>
      </c>
      <c r="AY87">
        <v>5.9080684946038904</v>
      </c>
      <c r="AZ87">
        <v>0.15586963517480401</v>
      </c>
      <c r="BA87">
        <v>7.64340155419167E-2</v>
      </c>
      <c r="BB87">
        <v>1.4339223219644701E-3</v>
      </c>
      <c r="BD87" s="31" t="s">
        <v>1096</v>
      </c>
      <c r="BE87">
        <v>4.34306507340278</v>
      </c>
      <c r="BF87">
        <v>8.3724629867731701E-2</v>
      </c>
      <c r="BG87">
        <v>8.5061549934342104E-2</v>
      </c>
      <c r="BH87">
        <v>7.2276651988891795E-4</v>
      </c>
    </row>
    <row r="88" spans="1:60" x14ac:dyDescent="0.25">
      <c r="A88" s="9" t="s">
        <v>183</v>
      </c>
      <c r="B88" s="2">
        <v>5.6054424119344102</v>
      </c>
      <c r="C88" s="2">
        <v>0.17479486932871399</v>
      </c>
      <c r="D88" s="2">
        <v>7.6308980484745007E-2</v>
      </c>
      <c r="E88" s="2">
        <v>2.91365854115264E-3</v>
      </c>
      <c r="F88" s="2"/>
      <c r="M88" s="9" t="s">
        <v>310</v>
      </c>
      <c r="N88" s="2">
        <v>5.4841408409355799</v>
      </c>
      <c r="O88" s="2">
        <v>0.13923443092207199</v>
      </c>
      <c r="P88" s="2">
        <v>7.5445888005218703E-2</v>
      </c>
      <c r="Q88" s="2">
        <v>3.0588724138307499E-3</v>
      </c>
      <c r="R88" s="2"/>
      <c r="S88" s="25" t="s">
        <v>358</v>
      </c>
      <c r="T88" s="16">
        <v>10.009008107296568</v>
      </c>
      <c r="U88" s="16">
        <v>0.25445781796149813</v>
      </c>
      <c r="V88" s="16">
        <v>7.5109999999999996E-2</v>
      </c>
      <c r="W88" s="16">
        <v>3.5200000000000001E-3</v>
      </c>
      <c r="X88" s="16">
        <v>0.47699999999999998</v>
      </c>
      <c r="Z88" s="23" t="s">
        <v>480</v>
      </c>
      <c r="AA88" s="17">
        <v>5.9081345397393097</v>
      </c>
      <c r="AB88" s="17">
        <v>0.17688985056443199</v>
      </c>
      <c r="AC88" s="17">
        <v>7.4155096449072505E-2</v>
      </c>
      <c r="AD88" s="17">
        <v>2.5021308441951901E-4</v>
      </c>
      <c r="AF88" s="25" t="s">
        <v>599</v>
      </c>
      <c r="AG88" s="15">
        <f t="shared" si="6"/>
        <v>0.16925816317719197</v>
      </c>
      <c r="AH88" s="15">
        <f t="shared" si="7"/>
        <v>1.0135196140115252E-2</v>
      </c>
      <c r="AI88" s="15">
        <v>0.20613999999999999</v>
      </c>
      <c r="AJ88" s="15">
        <f t="shared" si="8"/>
        <v>5.0042616883903802E-4</v>
      </c>
      <c r="AL88" s="29" t="s">
        <v>714</v>
      </c>
      <c r="AM88" s="19">
        <v>6.5811122079631454</v>
      </c>
      <c r="AN88">
        <v>0.13166555519715675</v>
      </c>
      <c r="AO88" s="20">
        <v>7.0900000000000005E-2</v>
      </c>
      <c r="AP88">
        <v>1.5200000000000001E-3</v>
      </c>
      <c r="AR88" s="31" t="s">
        <v>810</v>
      </c>
      <c r="AS88">
        <v>5.6932119549863902</v>
      </c>
      <c r="AT88">
        <v>0.16138196484957301</v>
      </c>
      <c r="AU88">
        <v>7.40695356152479E-2</v>
      </c>
      <c r="AV88">
        <v>1.13978859895946E-3</v>
      </c>
      <c r="AX88" s="31" t="s">
        <v>948</v>
      </c>
      <c r="AY88">
        <v>5.2931753484539801</v>
      </c>
      <c r="AZ88">
        <v>0.109379512606191</v>
      </c>
      <c r="BA88">
        <v>7.6076040529214406E-2</v>
      </c>
      <c r="BB88">
        <v>6.7006288027225702E-4</v>
      </c>
      <c r="BD88" s="31" t="s">
        <v>1097</v>
      </c>
      <c r="BE88">
        <v>4.3668222222116002</v>
      </c>
      <c r="BF88">
        <v>8.5902124253298101E-2</v>
      </c>
      <c r="BG88">
        <v>8.4950075376041698E-2</v>
      </c>
      <c r="BH88">
        <v>6.1384441044637795E-4</v>
      </c>
    </row>
    <row r="89" spans="1:60" x14ac:dyDescent="0.25">
      <c r="A89" s="9" t="s">
        <v>184</v>
      </c>
      <c r="B89" s="2">
        <v>5.1895599762288098</v>
      </c>
      <c r="C89" s="2">
        <v>0.151822877940815</v>
      </c>
      <c r="D89" s="2">
        <v>7.9062592845278001E-2</v>
      </c>
      <c r="E89" s="2">
        <v>2.6597919494780399E-3</v>
      </c>
      <c r="F89" s="2"/>
      <c r="M89" s="9" t="s">
        <v>311</v>
      </c>
      <c r="N89" s="2">
        <v>3.66310550870997</v>
      </c>
      <c r="O89" s="2">
        <v>0.10489350634498</v>
      </c>
      <c r="P89" s="2">
        <v>9.8466736446551795E-2</v>
      </c>
      <c r="Q89" s="2">
        <v>4.5462753885413699E-3</v>
      </c>
      <c r="R89" s="2"/>
      <c r="S89" s="25" t="s">
        <v>359</v>
      </c>
      <c r="T89" s="16">
        <v>5.6497175141242941</v>
      </c>
      <c r="U89" s="16">
        <v>0.60582846563886505</v>
      </c>
      <c r="V89" s="16">
        <v>9.1509999999999994E-2</v>
      </c>
      <c r="W89" s="16">
        <v>5.9800000000000001E-3</v>
      </c>
      <c r="X89" s="16">
        <v>0.85399999999999998</v>
      </c>
      <c r="Z89" s="23" t="s">
        <v>481</v>
      </c>
      <c r="AA89" s="17">
        <v>5.4828916335781601</v>
      </c>
      <c r="AB89" s="17">
        <v>0.102517197112533</v>
      </c>
      <c r="AC89" s="17">
        <v>7.4259557485383099E-2</v>
      </c>
      <c r="AD89" s="17">
        <v>5.81865533140672E-4</v>
      </c>
      <c r="AF89" s="25" t="s">
        <v>600</v>
      </c>
      <c r="AG89" s="15">
        <f t="shared" si="6"/>
        <v>0.18238551239565454</v>
      </c>
      <c r="AH89" s="15">
        <f t="shared" si="7"/>
        <v>6.8203615078686036E-3</v>
      </c>
      <c r="AI89" s="15">
        <v>0.11062</v>
      </c>
      <c r="AJ89" s="15">
        <f t="shared" si="8"/>
        <v>1.163731066281344E-3</v>
      </c>
      <c r="AL89" s="29" t="s">
        <v>715</v>
      </c>
      <c r="AM89" s="19">
        <v>6.3759245090538128</v>
      </c>
      <c r="AN89">
        <v>0.13252686750519913</v>
      </c>
      <c r="AO89" s="20">
        <v>7.0260000000000003E-2</v>
      </c>
      <c r="AP89">
        <v>2.2799999999999999E-3</v>
      </c>
      <c r="AR89" s="31" t="s">
        <v>811</v>
      </c>
      <c r="AS89">
        <v>5.72542770093626</v>
      </c>
      <c r="AT89">
        <v>6.9563320230647999E-2</v>
      </c>
      <c r="AU89">
        <v>7.3831898883785899E-2</v>
      </c>
      <c r="AV89">
        <v>6.0981912117266202E-4</v>
      </c>
      <c r="AX89" s="31" t="s">
        <v>949</v>
      </c>
      <c r="AY89">
        <v>5.6065270443908304</v>
      </c>
      <c r="AZ89">
        <v>6.5166437387805795E-2</v>
      </c>
      <c r="BA89">
        <v>7.5926957479596394E-2</v>
      </c>
      <c r="BB89">
        <v>8.06327727856434E-4</v>
      </c>
      <c r="BD89" s="31" t="s">
        <v>1098</v>
      </c>
      <c r="BE89">
        <v>4.6416335434398404</v>
      </c>
      <c r="BF89">
        <v>7.2952808709354597E-2</v>
      </c>
      <c r="BG89">
        <v>8.4795353204863505E-2</v>
      </c>
      <c r="BH89">
        <v>2.4644872368847598E-4</v>
      </c>
    </row>
    <row r="90" spans="1:60" x14ac:dyDescent="0.25">
      <c r="A90" s="9" t="s">
        <v>185</v>
      </c>
      <c r="B90" s="2">
        <v>4.7281378729780696</v>
      </c>
      <c r="C90" s="2">
        <v>0.13060054043909999</v>
      </c>
      <c r="D90" s="2">
        <v>8.3296118219892398E-2</v>
      </c>
      <c r="E90" s="2">
        <v>4.3509200102697298E-3</v>
      </c>
      <c r="F90" s="2"/>
      <c r="M90" s="9" t="s">
        <v>312</v>
      </c>
      <c r="N90" s="2">
        <v>6.4032986986086797</v>
      </c>
      <c r="O90" s="2">
        <v>0.20666111708607099</v>
      </c>
      <c r="P90" s="2">
        <v>7.1804508258576094E-2</v>
      </c>
      <c r="Q90" s="2">
        <v>3.7024336960186401E-3</v>
      </c>
      <c r="R90" s="2"/>
      <c r="S90" s="25" t="s">
        <v>360</v>
      </c>
      <c r="T90" s="16">
        <v>7.4002812106860061</v>
      </c>
      <c r="U90" s="16">
        <v>0.29025005858533137</v>
      </c>
      <c r="V90" s="16">
        <v>7.6969999999999997E-2</v>
      </c>
      <c r="W90" s="16">
        <v>1.92E-3</v>
      </c>
      <c r="X90" s="16">
        <v>0.84399999999999997</v>
      </c>
      <c r="Z90" s="23" t="s">
        <v>482</v>
      </c>
      <c r="AA90" s="17">
        <v>5.8088288608224099</v>
      </c>
      <c r="AB90" s="17">
        <v>0.22112199695481399</v>
      </c>
      <c r="AC90" s="17">
        <v>7.3840478380283903E-2</v>
      </c>
      <c r="AD90" s="17">
        <v>2.2876506116449301E-4</v>
      </c>
      <c r="AF90" s="25" t="s">
        <v>601</v>
      </c>
      <c r="AG90" s="15">
        <f t="shared" si="6"/>
        <v>0.17215174073116363</v>
      </c>
      <c r="AH90" s="15">
        <f t="shared" si="7"/>
        <v>1.3106441109484796E-2</v>
      </c>
      <c r="AI90" s="15">
        <v>8.5540000000000005E-2</v>
      </c>
      <c r="AJ90" s="15">
        <f t="shared" si="8"/>
        <v>4.5753012232898602E-4</v>
      </c>
      <c r="AL90" s="29" t="s">
        <v>716</v>
      </c>
      <c r="AM90" s="19">
        <v>6.4296277245547486</v>
      </c>
      <c r="AN90">
        <v>0.13146155831083459</v>
      </c>
      <c r="AO90" s="20">
        <v>6.9349999999999995E-2</v>
      </c>
      <c r="AP90">
        <v>1.9399999999999999E-3</v>
      </c>
      <c r="AR90" s="31" t="s">
        <v>812</v>
      </c>
      <c r="AS90">
        <v>5.8051821427574399</v>
      </c>
      <c r="AT90">
        <v>5.8619454839659101E-2</v>
      </c>
      <c r="AU90">
        <v>7.3588106667783704E-2</v>
      </c>
      <c r="AV90">
        <v>5.8436860930034698E-4</v>
      </c>
      <c r="AX90" s="31" t="s">
        <v>950</v>
      </c>
      <c r="AY90">
        <v>5.6336327422157497</v>
      </c>
      <c r="AZ90">
        <v>5.2162260786479897E-2</v>
      </c>
      <c r="BA90">
        <v>7.5289638506519305E-2</v>
      </c>
      <c r="BB90">
        <v>5.5136293342793099E-4</v>
      </c>
      <c r="BD90" s="31" t="s">
        <v>1099</v>
      </c>
      <c r="BE90">
        <v>4.4571480296829504</v>
      </c>
      <c r="BF90">
        <v>0.10772942780932999</v>
      </c>
      <c r="BG90">
        <v>8.46553755077709E-2</v>
      </c>
      <c r="BH90">
        <v>1.1194417487514301E-3</v>
      </c>
    </row>
    <row r="91" spans="1:60" x14ac:dyDescent="0.25">
      <c r="A91" s="9" t="s">
        <v>186</v>
      </c>
      <c r="B91" s="2">
        <v>4.0410856689213102</v>
      </c>
      <c r="C91" s="2">
        <v>0.14803189415068699</v>
      </c>
      <c r="D91" s="2">
        <v>9.2688797537508305E-2</v>
      </c>
      <c r="E91" s="2">
        <v>4.1643721200152898E-3</v>
      </c>
      <c r="F91" s="2"/>
      <c r="M91" s="9" t="s">
        <v>313</v>
      </c>
      <c r="N91" s="2">
        <v>5.4890505560129199</v>
      </c>
      <c r="O91" s="2">
        <v>0.14234095525347801</v>
      </c>
      <c r="P91" s="2">
        <v>7.6387062870543296E-2</v>
      </c>
      <c r="Q91" s="2">
        <v>3.5039312179391199E-3</v>
      </c>
      <c r="R91" s="2"/>
      <c r="S91" s="25" t="s">
        <v>361</v>
      </c>
      <c r="T91" s="16">
        <v>4.5105999097880014</v>
      </c>
      <c r="U91" s="16">
        <v>0.1814819629919214</v>
      </c>
      <c r="V91" s="16">
        <v>0.10525</v>
      </c>
      <c r="W91" s="16">
        <v>2.7000000000000001E-3</v>
      </c>
      <c r="X91" s="16">
        <v>0.84299999999999997</v>
      </c>
      <c r="Z91" s="23" t="s">
        <v>483</v>
      </c>
      <c r="AA91" s="17">
        <v>5.7460728564874604</v>
      </c>
      <c r="AB91" s="17">
        <v>0.21145175773681901</v>
      </c>
      <c r="AC91" s="17">
        <v>7.3765847443710106E-2</v>
      </c>
      <c r="AD91" s="17">
        <v>2.7895740728879501E-4</v>
      </c>
      <c r="AF91" s="25" t="s">
        <v>602</v>
      </c>
      <c r="AG91" s="15">
        <f t="shared" si="6"/>
        <v>0.1740319040457301</v>
      </c>
      <c r="AH91" s="15">
        <f t="shared" si="7"/>
        <v>1.2808522596857667E-2</v>
      </c>
      <c r="AI91" s="15">
        <v>7.5969999999999996E-2</v>
      </c>
      <c r="AJ91" s="15">
        <f t="shared" si="8"/>
        <v>5.5791481457759002E-4</v>
      </c>
      <c r="AL91" s="29" t="s">
        <v>717</v>
      </c>
      <c r="AM91" s="19">
        <v>9.1709464416727808</v>
      </c>
      <c r="AN91">
        <v>0.1799873934811056</v>
      </c>
      <c r="AO91" s="20">
        <v>6.1800000000000001E-2</v>
      </c>
      <c r="AP91">
        <v>1.42E-3</v>
      </c>
      <c r="AR91" s="31" t="s">
        <v>813</v>
      </c>
      <c r="AS91">
        <v>5.6781075825767999</v>
      </c>
      <c r="AT91">
        <v>8.4937142052365994E-2</v>
      </c>
      <c r="AU91">
        <v>7.3593449804978006E-2</v>
      </c>
      <c r="AV91">
        <v>7.5048724476535695E-4</v>
      </c>
      <c r="AX91" s="31" t="s">
        <v>951</v>
      </c>
      <c r="AY91">
        <v>5.7104607971189596</v>
      </c>
      <c r="AZ91">
        <v>8.0364533840649205E-2</v>
      </c>
      <c r="BA91">
        <v>7.5175386009513803E-2</v>
      </c>
      <c r="BB91">
        <v>7.80921129862623E-4</v>
      </c>
      <c r="BD91" s="31" t="s">
        <v>1100</v>
      </c>
      <c r="BE91">
        <v>4.6455316682000998</v>
      </c>
      <c r="BF91">
        <v>8.5343164354751797E-2</v>
      </c>
      <c r="BG91">
        <v>8.43317928954571E-2</v>
      </c>
      <c r="BH91">
        <v>6.87880101764644E-4</v>
      </c>
    </row>
    <row r="92" spans="1:60" x14ac:dyDescent="0.25">
      <c r="A92" s="9" t="s">
        <v>187</v>
      </c>
      <c r="B92" s="2">
        <v>2.1133797868565098</v>
      </c>
      <c r="C92" s="2">
        <v>9.4145809570081507E-2</v>
      </c>
      <c r="D92" s="2">
        <v>0.17228879136518499</v>
      </c>
      <c r="E92" s="2">
        <v>6.1646739096860702E-3</v>
      </c>
      <c r="F92" s="2"/>
      <c r="M92" s="9" t="s">
        <v>314</v>
      </c>
      <c r="N92" s="2">
        <v>3.28823384779471</v>
      </c>
      <c r="O92" s="2">
        <v>0.142708463356534</v>
      </c>
      <c r="P92" s="2">
        <v>0.108208158227345</v>
      </c>
      <c r="Q92" s="2">
        <v>7.2082792611425301E-3</v>
      </c>
      <c r="R92" s="2"/>
      <c r="S92" s="25" t="s">
        <v>362</v>
      </c>
      <c r="T92" s="16">
        <v>2.7606769179802888</v>
      </c>
      <c r="U92" s="16">
        <v>0.1624869058094022</v>
      </c>
      <c r="V92" s="16">
        <v>0.17369999999999999</v>
      </c>
      <c r="W92" s="16">
        <v>6.4000000000000003E-3</v>
      </c>
      <c r="X92" s="16">
        <v>0.84699999999999998</v>
      </c>
      <c r="Z92" s="23" t="s">
        <v>484</v>
      </c>
      <c r="AA92" s="17">
        <v>5.8206505163505398</v>
      </c>
      <c r="AB92" s="17">
        <v>0.219918240726419</v>
      </c>
      <c r="AC92" s="17">
        <v>7.3674137466690701E-2</v>
      </c>
      <c r="AD92" s="17">
        <v>2.7504715623709401E-4</v>
      </c>
      <c r="AF92" s="25" t="s">
        <v>603</v>
      </c>
      <c r="AG92" s="15">
        <f t="shared" si="6"/>
        <v>0.17180210307953431</v>
      </c>
      <c r="AH92" s="15">
        <f t="shared" si="7"/>
        <v>1.2982197146596281E-2</v>
      </c>
      <c r="AI92" s="15">
        <v>0.10503999999999999</v>
      </c>
      <c r="AJ92" s="15">
        <f t="shared" si="8"/>
        <v>5.5009431247418801E-4</v>
      </c>
      <c r="AL92" s="29" t="s">
        <v>718</v>
      </c>
      <c r="AM92" s="19">
        <v>9.5767094426355097</v>
      </c>
      <c r="AN92">
        <v>0.19259806387219466</v>
      </c>
      <c r="AO92" s="20">
        <v>6.0970000000000003E-2</v>
      </c>
      <c r="AP92">
        <v>1.5399999999999999E-3</v>
      </c>
      <c r="AR92" s="31" t="s">
        <v>814</v>
      </c>
      <c r="AS92">
        <v>5.7636558531275703</v>
      </c>
      <c r="AT92">
        <v>7.9388725335804294E-2</v>
      </c>
      <c r="AU92">
        <v>7.3567977760686104E-2</v>
      </c>
      <c r="AV92">
        <v>4.05999688870814E-4</v>
      </c>
      <c r="AX92" s="31" t="s">
        <v>952</v>
      </c>
      <c r="AY92">
        <v>5.5665614100832803</v>
      </c>
      <c r="AZ92">
        <v>0.15919935436202401</v>
      </c>
      <c r="BA92">
        <v>7.5407557149825E-2</v>
      </c>
      <c r="BB92">
        <v>1.32496256311096E-3</v>
      </c>
      <c r="BD92" s="31" t="s">
        <v>1101</v>
      </c>
      <c r="BE92">
        <v>4.4180046641851698</v>
      </c>
      <c r="BF92">
        <v>6.9805215072990895E-2</v>
      </c>
      <c r="BG92">
        <v>8.4212207629918198E-2</v>
      </c>
      <c r="BH92">
        <v>4.51753277019104E-4</v>
      </c>
    </row>
    <row r="93" spans="1:60" x14ac:dyDescent="0.25">
      <c r="A93" s="9" t="s">
        <v>188</v>
      </c>
      <c r="B93" s="2">
        <v>5.5881139387475001</v>
      </c>
      <c r="C93" s="2">
        <v>0.17977201693183301</v>
      </c>
      <c r="D93" s="2">
        <v>7.5517915435313596E-2</v>
      </c>
      <c r="E93" s="2">
        <v>2.2803033157727699E-3</v>
      </c>
      <c r="F93" s="2"/>
      <c r="M93" s="9" t="s">
        <v>315</v>
      </c>
      <c r="N93" s="2">
        <v>5.6747472586242704</v>
      </c>
      <c r="O93" s="2">
        <v>0.15888230858178301</v>
      </c>
      <c r="P93" s="2">
        <v>7.4261822257396803E-2</v>
      </c>
      <c r="Q93" s="2">
        <v>3.2840721272993701E-3</v>
      </c>
      <c r="R93" s="2"/>
      <c r="S93" s="25" t="s">
        <v>363</v>
      </c>
      <c r="T93" s="16">
        <v>10.71007818357074</v>
      </c>
      <c r="U93" s="16">
        <v>0.21335274093864817</v>
      </c>
      <c r="V93" s="16">
        <v>6.3780000000000003E-2</v>
      </c>
      <c r="W93" s="16">
        <v>1.6999999999999999E-3</v>
      </c>
      <c r="X93" s="16">
        <v>0.6</v>
      </c>
      <c r="Z93" s="23" t="s">
        <v>485</v>
      </c>
      <c r="AA93" s="17">
        <v>5.8750508471835099</v>
      </c>
      <c r="AB93" s="17">
        <v>0.17538261484475801</v>
      </c>
      <c r="AC93" s="17">
        <v>7.3646861786638998E-2</v>
      </c>
      <c r="AD93" s="17">
        <v>2.8120133992008299E-4</v>
      </c>
      <c r="AF93" s="25" t="s">
        <v>604</v>
      </c>
      <c r="AG93" s="15">
        <f t="shared" si="6"/>
        <v>0.17021129280598454</v>
      </c>
      <c r="AH93" s="15">
        <f t="shared" si="7"/>
        <v>1.0162329615489666E-2</v>
      </c>
      <c r="AI93" s="15">
        <v>0.10352</v>
      </c>
      <c r="AJ93" s="15">
        <f t="shared" si="8"/>
        <v>5.6240267984016597E-4</v>
      </c>
      <c r="AL93" s="30" t="s">
        <v>719</v>
      </c>
      <c r="AM93" s="21">
        <v>3.6627353307450004</v>
      </c>
      <c r="AN93" s="16">
        <v>7.3249340362858767E-2</v>
      </c>
      <c r="AO93" s="22">
        <v>0.10896</v>
      </c>
      <c r="AP93" s="16">
        <v>2.3000000000000004E-3</v>
      </c>
      <c r="AR93" s="31" t="s">
        <v>815</v>
      </c>
      <c r="AS93">
        <v>5.7745808450601999</v>
      </c>
      <c r="AT93">
        <v>0.24256934314267301</v>
      </c>
      <c r="AU93">
        <v>7.3882615372920304E-2</v>
      </c>
      <c r="AV93">
        <v>1.3272111292822199E-3</v>
      </c>
      <c r="AX93" s="31" t="s">
        <v>953</v>
      </c>
      <c r="AY93">
        <v>5.5866527137895003</v>
      </c>
      <c r="AZ93">
        <v>7.2979002770996296E-2</v>
      </c>
      <c r="BA93">
        <v>7.4485724578382401E-2</v>
      </c>
      <c r="BB93">
        <v>1.0864023231174399E-3</v>
      </c>
      <c r="BD93" s="31" t="s">
        <v>1102</v>
      </c>
      <c r="BE93">
        <v>4.5742000985501399</v>
      </c>
      <c r="BF93">
        <v>7.9210478967969095E-2</v>
      </c>
      <c r="BG93">
        <v>8.4204487691957097E-2</v>
      </c>
      <c r="BH93">
        <v>4.6090283928907402E-4</v>
      </c>
    </row>
    <row r="94" spans="1:60" x14ac:dyDescent="0.25">
      <c r="A94" s="9" t="s">
        <v>189</v>
      </c>
      <c r="B94" s="2">
        <v>3.98609222368815</v>
      </c>
      <c r="C94" s="2">
        <v>0.15635780001579</v>
      </c>
      <c r="D94" s="2">
        <v>9.4749481888756107E-2</v>
      </c>
      <c r="E94" s="2">
        <v>4.1391161285105798E-3</v>
      </c>
      <c r="F94" s="2"/>
      <c r="M94" s="9" t="s">
        <v>316</v>
      </c>
      <c r="N94" s="2">
        <v>5.3924994607866497</v>
      </c>
      <c r="O94" s="2">
        <v>0.17085335090892501</v>
      </c>
      <c r="P94" s="2">
        <v>7.8656338783120894E-2</v>
      </c>
      <c r="Q94" s="2">
        <v>5.31064243298391E-3</v>
      </c>
      <c r="R94" s="2"/>
      <c r="S94" s="25" t="s">
        <v>364</v>
      </c>
      <c r="T94" s="16">
        <v>6.0328185328185331</v>
      </c>
      <c r="U94" s="16">
        <v>0.17687921132660517</v>
      </c>
      <c r="V94" s="16">
        <v>8.1610000000000002E-2</v>
      </c>
      <c r="W94" s="16">
        <v>2.4199999999999998E-3</v>
      </c>
      <c r="X94" s="16">
        <v>0.70399999999999996</v>
      </c>
      <c r="Z94" s="23" t="s">
        <v>486</v>
      </c>
      <c r="AA94" s="17">
        <v>5.7123791791710401</v>
      </c>
      <c r="AB94" s="17">
        <v>9.7253046251717698E-2</v>
      </c>
      <c r="AC94" s="17">
        <v>7.3560335572848204E-2</v>
      </c>
      <c r="AD94" s="17">
        <v>3.2471014073258902E-4</v>
      </c>
      <c r="AF94" s="25" t="s">
        <v>605</v>
      </c>
      <c r="AG94" s="15">
        <f t="shared" si="6"/>
        <v>0.17505840712505299</v>
      </c>
      <c r="AH94" s="15">
        <f t="shared" si="7"/>
        <v>5.960725936038234E-3</v>
      </c>
      <c r="AI94" s="15">
        <v>9.9860000000000004E-2</v>
      </c>
      <c r="AJ94" s="15">
        <f t="shared" si="8"/>
        <v>6.4942028146517804E-4</v>
      </c>
      <c r="AR94" s="31" t="s">
        <v>816</v>
      </c>
      <c r="AS94">
        <v>5.6334270493178398</v>
      </c>
      <c r="AT94">
        <v>9.6729551109784997E-2</v>
      </c>
      <c r="AU94">
        <v>7.3573368352808199E-2</v>
      </c>
      <c r="AV94">
        <v>5.88597959705895E-4</v>
      </c>
      <c r="AX94" s="31" t="s">
        <v>954</v>
      </c>
      <c r="AY94">
        <v>5.8811503271709604</v>
      </c>
      <c r="AZ94">
        <v>5.8719483405958499E-2</v>
      </c>
      <c r="BA94">
        <v>7.4292787304289898E-2</v>
      </c>
      <c r="BB94">
        <v>6.3568398703351498E-4</v>
      </c>
      <c r="BD94" s="31" t="s">
        <v>1103</v>
      </c>
      <c r="BE94">
        <v>4.4960508546812399</v>
      </c>
      <c r="BF94">
        <v>0.113262218996912</v>
      </c>
      <c r="BG94">
        <v>8.4158897799792604E-2</v>
      </c>
      <c r="BH94">
        <v>6.0502728825582899E-4</v>
      </c>
    </row>
    <row r="95" spans="1:60" x14ac:dyDescent="0.25">
      <c r="A95" s="9" t="s">
        <v>190</v>
      </c>
      <c r="B95" s="2">
        <v>2.1772876918861699</v>
      </c>
      <c r="C95" s="2">
        <v>0.109982698401066</v>
      </c>
      <c r="D95" s="2">
        <v>0.16817744688463901</v>
      </c>
      <c r="E95" s="2">
        <v>1.12670036254457E-2</v>
      </c>
      <c r="F95" s="2"/>
      <c r="M95" s="9" t="s">
        <v>317</v>
      </c>
      <c r="N95" s="2">
        <v>5.5936488471770698</v>
      </c>
      <c r="O95" s="2">
        <v>0.15455099425801699</v>
      </c>
      <c r="P95" s="2">
        <v>7.5862589428284596E-2</v>
      </c>
      <c r="Q95" s="2">
        <v>3.6951915599420298E-3</v>
      </c>
      <c r="R95" s="2"/>
      <c r="S95" s="25" t="s">
        <v>365</v>
      </c>
      <c r="T95" s="16">
        <v>6.3918184723553848</v>
      </c>
      <c r="U95" s="16">
        <v>0.55154713567783753</v>
      </c>
      <c r="V95" s="16">
        <v>7.8460000000000002E-2</v>
      </c>
      <c r="W95" s="16">
        <v>3.14E-3</v>
      </c>
      <c r="X95" s="16">
        <v>0.90700000000000003</v>
      </c>
      <c r="Z95" s="23" t="s">
        <v>487</v>
      </c>
      <c r="AA95" s="17">
        <v>5.8941522231291703</v>
      </c>
      <c r="AB95" s="17">
        <v>0.22152550607058899</v>
      </c>
      <c r="AC95" s="17">
        <v>7.3432695329623002E-2</v>
      </c>
      <c r="AD95" s="17">
        <v>3.1847781203258999E-4</v>
      </c>
      <c r="AF95" s="25" t="s">
        <v>606</v>
      </c>
      <c r="AG95" s="15">
        <f t="shared" si="6"/>
        <v>0.16965968338515458</v>
      </c>
      <c r="AH95" s="15">
        <f t="shared" si="7"/>
        <v>1.2752961171986552E-2</v>
      </c>
      <c r="AI95" s="15">
        <v>8.0649999999999999E-2</v>
      </c>
      <c r="AJ95" s="15">
        <f t="shared" si="8"/>
        <v>6.3695562406517999E-4</v>
      </c>
      <c r="AR95" s="31" t="s">
        <v>817</v>
      </c>
      <c r="AS95">
        <v>5.4062513603670697</v>
      </c>
      <c r="AT95">
        <v>8.7615337172238406E-2</v>
      </c>
      <c r="AU95">
        <v>7.3453306102748306E-2</v>
      </c>
      <c r="AV95">
        <v>4.2266449191285301E-4</v>
      </c>
      <c r="AX95" s="31" t="s">
        <v>955</v>
      </c>
      <c r="AY95">
        <v>5.4006094012500796</v>
      </c>
      <c r="AZ95">
        <v>6.9930397037042305E-2</v>
      </c>
      <c r="BA95">
        <v>7.4244000242901398E-2</v>
      </c>
      <c r="BB95">
        <v>6.6321988848353495E-4</v>
      </c>
      <c r="BD95" s="31" t="s">
        <v>1104</v>
      </c>
      <c r="BE95">
        <v>4.5488824170034903</v>
      </c>
      <c r="BF95">
        <v>8.4616438668105601E-2</v>
      </c>
      <c r="BG95">
        <v>8.4033311644551301E-2</v>
      </c>
      <c r="BH95">
        <v>6.1397036643538402E-4</v>
      </c>
    </row>
    <row r="96" spans="1:60" x14ac:dyDescent="0.25">
      <c r="A96" s="9" t="s">
        <v>191</v>
      </c>
      <c r="B96" s="2">
        <v>4.0534077443238701</v>
      </c>
      <c r="C96" s="2">
        <v>0.17066400810771901</v>
      </c>
      <c r="D96" s="2">
        <v>9.2710109882799499E-2</v>
      </c>
      <c r="E96" s="2">
        <v>4.3082614451825096E-3</v>
      </c>
      <c r="F96" s="2"/>
      <c r="M96" s="9" t="s">
        <v>318</v>
      </c>
      <c r="N96" s="2">
        <v>5.93073978720175</v>
      </c>
      <c r="O96" s="2">
        <v>0.18233432549583001</v>
      </c>
      <c r="P96" s="2">
        <v>7.2895725870928296E-2</v>
      </c>
      <c r="Q96" s="2">
        <v>3.9075140899659001E-3</v>
      </c>
      <c r="R96" s="2"/>
      <c r="S96" s="25" t="s">
        <v>366</v>
      </c>
      <c r="T96" s="16">
        <v>12.010569300984866</v>
      </c>
      <c r="U96" s="16">
        <v>0.29139262536619542</v>
      </c>
      <c r="V96" s="16">
        <v>6.1089999999999998E-2</v>
      </c>
      <c r="W96" s="16">
        <v>1.56E-3</v>
      </c>
      <c r="X96" s="16">
        <v>0.68899999999999995</v>
      </c>
      <c r="Z96" s="23" t="s">
        <v>488</v>
      </c>
      <c r="AA96" s="17">
        <v>5.7402077138497196</v>
      </c>
      <c r="AB96" s="17">
        <v>0.17621125626762199</v>
      </c>
      <c r="AC96" s="17">
        <v>7.3378495581246095E-2</v>
      </c>
      <c r="AD96" s="17">
        <v>3.4661890108356202E-4</v>
      </c>
      <c r="AF96" s="25" t="s">
        <v>607</v>
      </c>
      <c r="AG96" s="15">
        <f t="shared" si="6"/>
        <v>0.17420972373303567</v>
      </c>
      <c r="AH96" s="15">
        <f t="shared" si="7"/>
        <v>1.0695680645481691E-2</v>
      </c>
      <c r="AI96" s="15">
        <v>7.4410000000000004E-2</v>
      </c>
      <c r="AJ96" s="15">
        <f t="shared" si="8"/>
        <v>6.9323780216712404E-4</v>
      </c>
      <c r="AR96" s="31" t="s">
        <v>818</v>
      </c>
      <c r="AS96">
        <v>5.5353043536455999</v>
      </c>
      <c r="AT96">
        <v>8.1108125473857998E-2</v>
      </c>
      <c r="AU96">
        <v>7.3378923405736304E-2</v>
      </c>
      <c r="AV96">
        <v>3.5640539948761997E-4</v>
      </c>
      <c r="AX96" s="31" t="s">
        <v>956</v>
      </c>
      <c r="AY96">
        <v>5.6587821799069902</v>
      </c>
      <c r="AZ96">
        <v>6.1311149280793599E-2</v>
      </c>
      <c r="BA96">
        <v>7.4170185374249506E-2</v>
      </c>
      <c r="BB96">
        <v>9.0348538549736698E-4</v>
      </c>
      <c r="BD96" s="31" t="s">
        <v>1105</v>
      </c>
      <c r="BE96">
        <v>4.8043081737715996</v>
      </c>
      <c r="BF96">
        <v>0.18698173964661299</v>
      </c>
      <c r="BG96">
        <v>8.3373154353578699E-2</v>
      </c>
      <c r="BH96">
        <v>1.39252392048355E-3</v>
      </c>
    </row>
    <row r="97" spans="1:60" x14ac:dyDescent="0.25">
      <c r="A97" s="9" t="s">
        <v>192</v>
      </c>
      <c r="B97" s="2">
        <v>3.8889106124874901</v>
      </c>
      <c r="C97" s="2">
        <v>0.13100240441038299</v>
      </c>
      <c r="D97" s="2">
        <v>9.9384318890962803E-2</v>
      </c>
      <c r="E97" s="2">
        <v>3.5971366247247801E-3</v>
      </c>
      <c r="F97" s="2"/>
      <c r="M97" s="9" t="s">
        <v>319</v>
      </c>
      <c r="N97" s="2">
        <v>3.3630575245910599</v>
      </c>
      <c r="O97" s="2">
        <v>0.123483155231248</v>
      </c>
      <c r="P97" s="2">
        <v>0.10695835824147901</v>
      </c>
      <c r="Q97" s="2">
        <v>5.8403201629818602E-3</v>
      </c>
      <c r="R97" s="2"/>
      <c r="S97" s="25" t="s">
        <v>367</v>
      </c>
      <c r="T97" s="16">
        <v>6.4817215452424159</v>
      </c>
      <c r="U97" s="16">
        <v>0.17057161961164255</v>
      </c>
      <c r="V97" s="16">
        <v>7.7670000000000003E-2</v>
      </c>
      <c r="W97" s="16">
        <v>3.7000000000000002E-3</v>
      </c>
      <c r="X97" s="16">
        <v>0.48399999999999999</v>
      </c>
      <c r="Z97" s="23" t="s">
        <v>489</v>
      </c>
      <c r="AA97" s="17">
        <v>5.9274901473457602</v>
      </c>
      <c r="AB97" s="17">
        <v>0.22370958483583001</v>
      </c>
      <c r="AC97" s="17">
        <v>7.3360728625314994E-2</v>
      </c>
      <c r="AD97" s="17">
        <v>2.9309935161225099E-4</v>
      </c>
      <c r="AF97" s="25" t="s">
        <v>608</v>
      </c>
      <c r="AG97" s="15">
        <f t="shared" si="6"/>
        <v>0.16870546810571838</v>
      </c>
      <c r="AH97" s="15">
        <f t="shared" si="7"/>
        <v>1.2734236343307791E-2</v>
      </c>
      <c r="AI97" s="15">
        <v>8.319E-2</v>
      </c>
      <c r="AJ97" s="15">
        <f t="shared" si="8"/>
        <v>5.8619870322450197E-4</v>
      </c>
      <c r="AR97" s="31" t="s">
        <v>819</v>
      </c>
      <c r="AS97">
        <v>5.7071802992998997</v>
      </c>
      <c r="AT97">
        <v>8.8118292609115398E-2</v>
      </c>
      <c r="AU97">
        <v>7.3429097890683401E-2</v>
      </c>
      <c r="AV97">
        <v>4.5918567090626699E-4</v>
      </c>
      <c r="AX97" s="31" t="s">
        <v>957</v>
      </c>
      <c r="AY97">
        <v>5.8168468471579198</v>
      </c>
      <c r="AZ97">
        <v>8.9726675498500094E-2</v>
      </c>
      <c r="BA97">
        <v>7.3790973616759306E-2</v>
      </c>
      <c r="BB97">
        <v>3.2468376522322803E-4</v>
      </c>
      <c r="BD97" s="31" t="s">
        <v>1106</v>
      </c>
      <c r="BE97">
        <v>4.6038773132188897</v>
      </c>
      <c r="BF97">
        <v>9.8683729804689702E-2</v>
      </c>
      <c r="BG97">
        <v>8.2894950302107001E-2</v>
      </c>
      <c r="BH97">
        <v>9.4549392733040099E-4</v>
      </c>
    </row>
    <row r="98" spans="1:60" x14ac:dyDescent="0.25">
      <c r="A98" s="27" t="s">
        <v>336</v>
      </c>
      <c r="B98" s="12">
        <v>4.7830248361533201</v>
      </c>
      <c r="C98" s="12">
        <v>0.27801731484476599</v>
      </c>
      <c r="D98" s="12">
        <v>8.9106613305264801E-2</v>
      </c>
      <c r="E98" s="12">
        <v>4.5253280930906501E-3</v>
      </c>
      <c r="M98" s="9" t="s">
        <v>320</v>
      </c>
      <c r="N98" s="2">
        <v>2.2556681831954002</v>
      </c>
      <c r="O98" s="2">
        <v>8.3510202030652306E-2</v>
      </c>
      <c r="P98" s="2">
        <v>0.15784628991253599</v>
      </c>
      <c r="Q98" s="2">
        <v>1.05240577634148E-2</v>
      </c>
      <c r="R98" s="2"/>
      <c r="S98" s="25" t="s">
        <v>368</v>
      </c>
      <c r="T98" s="16">
        <v>2.7523188286131068</v>
      </c>
      <c r="U98" s="16">
        <v>0.13817272296232921</v>
      </c>
      <c r="V98" s="16">
        <v>0.15529000000000001</v>
      </c>
      <c r="W98" s="16">
        <v>5.1399999999999996E-3</v>
      </c>
      <c r="X98" s="16">
        <v>0.83499999999999996</v>
      </c>
      <c r="Z98" s="23" t="s">
        <v>490</v>
      </c>
      <c r="AA98" s="17">
        <v>5.5381342791537804</v>
      </c>
      <c r="AB98" s="17">
        <v>9.6903632494454106E-2</v>
      </c>
      <c r="AC98" s="17">
        <v>7.3217205506835595E-2</v>
      </c>
      <c r="AD98" s="17">
        <v>2.8920162729309399E-4</v>
      </c>
      <c r="AF98" s="25" t="s">
        <v>609</v>
      </c>
      <c r="AG98" s="15">
        <f t="shared" si="6"/>
        <v>0.18056622494043223</v>
      </c>
      <c r="AH98" s="15">
        <f t="shared" si="7"/>
        <v>6.3189233848667805E-3</v>
      </c>
      <c r="AI98" s="15">
        <v>8.0259999999999998E-2</v>
      </c>
      <c r="AJ98" s="15">
        <f t="shared" si="8"/>
        <v>5.7840325458618797E-4</v>
      </c>
      <c r="AR98" s="31" t="s">
        <v>820</v>
      </c>
      <c r="AS98">
        <v>5.7018245601966102</v>
      </c>
      <c r="AT98">
        <v>7.6271740721803497E-2</v>
      </c>
      <c r="AU98">
        <v>7.3347407647864696E-2</v>
      </c>
      <c r="AV98">
        <v>6.2939289574625201E-4</v>
      </c>
      <c r="AX98" s="31" t="s">
        <v>958</v>
      </c>
      <c r="AY98">
        <v>5.98523041888431</v>
      </c>
      <c r="AZ98">
        <v>5.2695138096477898E-2</v>
      </c>
      <c r="BA98">
        <v>7.3698539625596096E-2</v>
      </c>
      <c r="BB98">
        <v>6.7854804258077697E-4</v>
      </c>
      <c r="BD98" s="31" t="s">
        <v>1107</v>
      </c>
      <c r="BE98">
        <v>4.6224413874310004</v>
      </c>
      <c r="BF98">
        <v>0.13958322727240799</v>
      </c>
      <c r="BG98">
        <v>8.2273998143956098E-2</v>
      </c>
      <c r="BH98">
        <v>8.2691233222789901E-4</v>
      </c>
    </row>
    <row r="99" spans="1:60" x14ac:dyDescent="0.25">
      <c r="A99" s="27" t="s">
        <v>337</v>
      </c>
      <c r="B99" s="12">
        <v>8.8807798635747108</v>
      </c>
      <c r="C99" s="12">
        <v>0.39556210450847801</v>
      </c>
      <c r="D99" s="12">
        <v>6.8478995075099802E-2</v>
      </c>
      <c r="E99" s="12">
        <v>2.4040851686314502E-3</v>
      </c>
      <c r="M99" s="9" t="s">
        <v>321</v>
      </c>
      <c r="N99" s="2">
        <v>6.35451920368439</v>
      </c>
      <c r="O99" s="2">
        <v>0.27451650447910902</v>
      </c>
      <c r="P99" s="2">
        <v>7.2873167574117007E-2</v>
      </c>
      <c r="Q99" s="2">
        <v>4.6975111305233904E-3</v>
      </c>
      <c r="R99" s="2"/>
      <c r="S99" s="25" t="s">
        <v>369</v>
      </c>
      <c r="T99" s="16">
        <v>4.4897409419476491</v>
      </c>
      <c r="U99" s="16">
        <v>0.65835288988465956</v>
      </c>
      <c r="V99" s="16">
        <v>9.7360000000000002E-2</v>
      </c>
      <c r="W99" s="16">
        <v>5.1799999999999997E-3</v>
      </c>
      <c r="X99" s="16">
        <v>0.94</v>
      </c>
      <c r="Z99" s="23" t="s">
        <v>491</v>
      </c>
      <c r="AA99" s="17">
        <v>5.8181114543661403</v>
      </c>
      <c r="AB99" s="17">
        <v>0.10128172142877601</v>
      </c>
      <c r="AC99" s="17">
        <v>7.3183399935323107E-2</v>
      </c>
      <c r="AD99" s="17">
        <v>2.4849427340857598E-4</v>
      </c>
      <c r="AF99" s="25" t="s">
        <v>610</v>
      </c>
      <c r="AG99" s="15">
        <f t="shared" si="6"/>
        <v>0.17187707864371704</v>
      </c>
      <c r="AH99" s="15">
        <f t="shared" si="7"/>
        <v>5.9840745698060225E-3</v>
      </c>
      <c r="AI99" s="15">
        <v>8.7859999999999994E-2</v>
      </c>
      <c r="AJ99" s="15">
        <f t="shared" si="8"/>
        <v>4.9698854681715196E-4</v>
      </c>
      <c r="AR99" s="31" t="s">
        <v>821</v>
      </c>
      <c r="AS99">
        <v>5.5987255662253101</v>
      </c>
      <c r="AT99">
        <v>0.19712430268259901</v>
      </c>
      <c r="AU99">
        <v>7.3397843375945002E-2</v>
      </c>
      <c r="AV99">
        <v>1.4255832589775499E-3</v>
      </c>
      <c r="AX99" s="31" t="s">
        <v>959</v>
      </c>
      <c r="AY99">
        <v>5.9933235034516104</v>
      </c>
      <c r="AZ99">
        <v>0.167636092210138</v>
      </c>
      <c r="BA99">
        <v>7.3925594558677504E-2</v>
      </c>
      <c r="BB99">
        <v>1.38313820725874E-3</v>
      </c>
      <c r="BD99" s="31" t="s">
        <v>1108</v>
      </c>
      <c r="BE99">
        <v>4.7959716990414902</v>
      </c>
      <c r="BF99">
        <v>6.8174343399772797E-2</v>
      </c>
      <c r="BG99">
        <v>8.2053973585686807E-2</v>
      </c>
      <c r="BH99">
        <v>5.8248090242328597E-4</v>
      </c>
    </row>
    <row r="100" spans="1:60" x14ac:dyDescent="0.25">
      <c r="A100" s="27" t="s">
        <v>338</v>
      </c>
      <c r="B100" s="12">
        <v>8.3374781931071809</v>
      </c>
      <c r="C100" s="12">
        <v>0.418411897705319</v>
      </c>
      <c r="D100" s="12">
        <v>0.122151849187635</v>
      </c>
      <c r="E100" s="12">
        <v>5.1217087038952997E-3</v>
      </c>
      <c r="M100" s="9" t="s">
        <v>322</v>
      </c>
      <c r="N100" s="2">
        <v>5.8280199291136796</v>
      </c>
      <c r="O100" s="2">
        <v>0.18199198746002501</v>
      </c>
      <c r="P100" s="2">
        <v>7.4075986996212595E-2</v>
      </c>
      <c r="Q100" s="2">
        <v>5.0413667148409298E-3</v>
      </c>
      <c r="R100" s="2"/>
      <c r="S100" s="25" t="s">
        <v>370</v>
      </c>
      <c r="T100" s="16">
        <v>9.6880449525285783</v>
      </c>
      <c r="U100" s="16">
        <v>0.25904867340611198</v>
      </c>
      <c r="V100" s="16">
        <v>6.4689999999999998E-2</v>
      </c>
      <c r="W100" s="16">
        <v>2.2599999999999999E-3</v>
      </c>
      <c r="X100" s="16">
        <v>0.60899999999999999</v>
      </c>
      <c r="Z100" s="23" t="s">
        <v>492</v>
      </c>
      <c r="AA100" s="17">
        <v>5.9389304093951001</v>
      </c>
      <c r="AB100" s="17">
        <v>0.223579365760221</v>
      </c>
      <c r="AC100" s="17">
        <v>7.3105883259846599E-2</v>
      </c>
      <c r="AD100" s="17">
        <v>1.9975590925209899E-4</v>
      </c>
      <c r="AF100" s="25" t="s">
        <v>611</v>
      </c>
      <c r="AG100" s="15">
        <f t="shared" si="6"/>
        <v>0.16838048791042382</v>
      </c>
      <c r="AH100" s="15">
        <f t="shared" si="7"/>
        <v>1.2677839307177039E-2</v>
      </c>
      <c r="AI100" s="15">
        <v>8.3269999999999997E-2</v>
      </c>
      <c r="AJ100" s="15">
        <f t="shared" si="8"/>
        <v>3.9951181850419798E-4</v>
      </c>
      <c r="AR100" s="31" t="s">
        <v>822</v>
      </c>
      <c r="AS100">
        <v>5.9205680579914199</v>
      </c>
      <c r="AT100">
        <v>0.13431026879483299</v>
      </c>
      <c r="AU100">
        <v>7.3436095609197199E-2</v>
      </c>
      <c r="AV100">
        <v>9.0054673952454502E-4</v>
      </c>
      <c r="AX100" s="31" t="s">
        <v>960</v>
      </c>
      <c r="AY100">
        <v>5.9041365565354598</v>
      </c>
      <c r="AZ100">
        <v>5.59858812923986E-2</v>
      </c>
      <c r="BA100">
        <v>7.3062331158433594E-2</v>
      </c>
      <c r="BB100">
        <v>5.6966231024120997E-4</v>
      </c>
      <c r="BD100" s="31" t="s">
        <v>1109</v>
      </c>
      <c r="BE100">
        <v>4.7465927780912596</v>
      </c>
      <c r="BF100">
        <v>5.4978762513128498E-2</v>
      </c>
      <c r="BG100">
        <v>8.1977325373950305E-2</v>
      </c>
      <c r="BH100">
        <v>3.9012950683842899E-4</v>
      </c>
    </row>
    <row r="101" spans="1:60" x14ac:dyDescent="0.25">
      <c r="A101" s="27" t="s">
        <v>339</v>
      </c>
      <c r="B101" s="12">
        <v>4.5665668150598897</v>
      </c>
      <c r="C101" s="12">
        <v>0.262996074613014</v>
      </c>
      <c r="D101" s="12">
        <v>0.60494960896423899</v>
      </c>
      <c r="E101" s="12">
        <v>4.3474270489923202E-2</v>
      </c>
      <c r="M101" s="9" t="s">
        <v>323</v>
      </c>
      <c r="N101" s="2">
        <v>3.60477143129927</v>
      </c>
      <c r="O101" s="2">
        <v>0.18249829857694799</v>
      </c>
      <c r="P101" s="2">
        <v>0.101563237695248</v>
      </c>
      <c r="Q101" s="2">
        <v>7.5873112025356196E-3</v>
      </c>
      <c r="R101" s="2"/>
      <c r="S101" s="25" t="s">
        <v>371</v>
      </c>
      <c r="T101" s="16">
        <v>11.991845545029379</v>
      </c>
      <c r="U101" s="16">
        <v>0.27610437038561464</v>
      </c>
      <c r="V101" s="16">
        <v>6.0510000000000001E-2</v>
      </c>
      <c r="W101" s="16">
        <v>1.5E-3</v>
      </c>
      <c r="X101" s="16">
        <v>0.68</v>
      </c>
      <c r="Z101" s="23" t="s">
        <v>493</v>
      </c>
      <c r="AA101" s="17">
        <v>6.0788590416883297</v>
      </c>
      <c r="AB101" s="17">
        <v>0.184792885749959</v>
      </c>
      <c r="AC101" s="17">
        <v>7.2931639859450698E-2</v>
      </c>
      <c r="AD101" s="17">
        <v>2.5030544170344399E-4</v>
      </c>
      <c r="AF101" s="25" t="s">
        <v>612</v>
      </c>
      <c r="AG101" s="15">
        <f t="shared" si="6"/>
        <v>0.16450455474326348</v>
      </c>
      <c r="AH101" s="15">
        <f t="shared" si="7"/>
        <v>1.0001637209069658E-2</v>
      </c>
      <c r="AI101" s="15">
        <v>8.2150000000000001E-2</v>
      </c>
      <c r="AJ101" s="15">
        <f t="shared" si="8"/>
        <v>5.0061088340688797E-4</v>
      </c>
      <c r="AR101" s="31" t="s">
        <v>823</v>
      </c>
      <c r="AS101">
        <v>5.7999794773285798</v>
      </c>
      <c r="AT101">
        <v>5.6929247301180999E-2</v>
      </c>
      <c r="AU101">
        <v>7.3200801247090705E-2</v>
      </c>
      <c r="AV101">
        <v>5.5364734024097395E-4</v>
      </c>
      <c r="AX101" s="31" t="s">
        <v>961</v>
      </c>
      <c r="AY101">
        <v>5.7906207393251101</v>
      </c>
      <c r="AZ101">
        <v>0.15700128650613701</v>
      </c>
      <c r="BA101">
        <v>7.3024415312445703E-2</v>
      </c>
      <c r="BB101">
        <v>1.0157848086881601E-3</v>
      </c>
      <c r="BD101" s="31" t="s">
        <v>1110</v>
      </c>
      <c r="BE101">
        <v>4.7763035161372596</v>
      </c>
      <c r="BF101">
        <v>9.6553401392089205E-2</v>
      </c>
      <c r="BG101">
        <v>8.1476205817592406E-2</v>
      </c>
      <c r="BH101">
        <v>8.2649340738183104E-4</v>
      </c>
    </row>
    <row r="102" spans="1:60" x14ac:dyDescent="0.25">
      <c r="A102" s="27" t="s">
        <v>340</v>
      </c>
      <c r="B102" s="12">
        <v>16.518981881409498</v>
      </c>
      <c r="C102" s="12">
        <v>2.6398824813271999</v>
      </c>
      <c r="D102" s="12">
        <v>4.8048236062416497E-2</v>
      </c>
      <c r="E102" s="12">
        <v>8.5069566957120105E-2</v>
      </c>
      <c r="M102" s="9" t="s">
        <v>324</v>
      </c>
      <c r="N102" s="2">
        <v>5.0668938583777798</v>
      </c>
      <c r="O102" s="2">
        <v>0.18939903901430699</v>
      </c>
      <c r="P102" s="2">
        <v>7.8773747108911996E-2</v>
      </c>
      <c r="Q102" s="2">
        <v>4.08916528096313E-3</v>
      </c>
      <c r="R102" s="2"/>
      <c r="S102" s="25" t="s">
        <v>372</v>
      </c>
      <c r="T102" s="16">
        <v>3.5448422545196738</v>
      </c>
      <c r="U102" s="16">
        <v>0.19527418871051305</v>
      </c>
      <c r="V102" s="16">
        <v>0.11521000000000001</v>
      </c>
      <c r="W102" s="16">
        <v>3.2000000000000002E-3</v>
      </c>
      <c r="X102" s="16">
        <v>0.89400000000000002</v>
      </c>
      <c r="Z102" s="23" t="s">
        <v>494</v>
      </c>
      <c r="AA102" s="17">
        <v>5.4998250861663402</v>
      </c>
      <c r="AB102" s="17">
        <v>9.8097661504516001E-2</v>
      </c>
      <c r="AC102" s="17">
        <v>7.2891399990491199E-2</v>
      </c>
      <c r="AD102" s="17">
        <v>2.9851718926456299E-4</v>
      </c>
      <c r="AF102" s="25" t="s">
        <v>613</v>
      </c>
      <c r="AG102" s="15">
        <f t="shared" si="6"/>
        <v>0.18182396427757144</v>
      </c>
      <c r="AH102" s="15">
        <f t="shared" si="7"/>
        <v>6.4862083508707988E-3</v>
      </c>
      <c r="AI102" s="15">
        <v>7.775E-2</v>
      </c>
      <c r="AJ102" s="15">
        <f t="shared" si="8"/>
        <v>5.9703437852912599E-4</v>
      </c>
      <c r="AR102" s="31" t="s">
        <v>824</v>
      </c>
      <c r="AS102">
        <v>5.8854878113495097</v>
      </c>
      <c r="AT102">
        <v>8.9377558072697497E-2</v>
      </c>
      <c r="AU102">
        <v>7.3230703884201401E-2</v>
      </c>
      <c r="AV102">
        <v>5.8751803271058303E-4</v>
      </c>
      <c r="AX102" s="31" t="s">
        <v>962</v>
      </c>
      <c r="AY102">
        <v>6.06518103264</v>
      </c>
      <c r="AZ102">
        <v>5.34208522624132E-2</v>
      </c>
      <c r="BA102">
        <v>7.2736941991319096E-2</v>
      </c>
      <c r="BB102">
        <v>7.2553629735560795E-4</v>
      </c>
      <c r="BD102" s="31" t="s">
        <v>1111</v>
      </c>
      <c r="BE102">
        <v>4.8712646129817703</v>
      </c>
      <c r="BF102">
        <v>8.0974217891479905E-2</v>
      </c>
      <c r="BG102">
        <v>8.0921386617200303E-2</v>
      </c>
      <c r="BH102">
        <v>4.66102375724314E-4</v>
      </c>
    </row>
    <row r="103" spans="1:60" x14ac:dyDescent="0.25">
      <c r="A103" s="27" t="s">
        <v>341</v>
      </c>
      <c r="B103" s="12">
        <v>6.32396715087937</v>
      </c>
      <c r="C103" s="12">
        <v>0.19955463658963299</v>
      </c>
      <c r="D103" s="12">
        <v>6.4900403013228206E-2</v>
      </c>
      <c r="E103" s="12">
        <v>4.0304663313322203E-3</v>
      </c>
      <c r="M103" s="9" t="s">
        <v>325</v>
      </c>
      <c r="N103" s="2">
        <v>5.3450463726304704</v>
      </c>
      <c r="O103" s="2">
        <v>0.14708585845910299</v>
      </c>
      <c r="P103" s="2">
        <v>7.9203324312797294E-2</v>
      </c>
      <c r="Q103" s="2">
        <v>4.17866999611989E-3</v>
      </c>
      <c r="R103" s="2"/>
      <c r="S103" s="25" t="s">
        <v>373</v>
      </c>
      <c r="T103" s="16">
        <v>6.3071586250394196</v>
      </c>
      <c r="U103" s="16">
        <v>0.17582870465262843</v>
      </c>
      <c r="V103" s="16">
        <v>7.6899999999999996E-2</v>
      </c>
      <c r="W103" s="16">
        <v>2.48E-3</v>
      </c>
      <c r="X103" s="16">
        <v>0.65400000000000003</v>
      </c>
      <c r="Z103" s="23" t="s">
        <v>495</v>
      </c>
      <c r="AA103" s="17">
        <v>5.6757033594499298</v>
      </c>
      <c r="AB103" s="17">
        <v>9.9932643166215598E-2</v>
      </c>
      <c r="AC103" s="17">
        <v>7.2114517097963002E-2</v>
      </c>
      <c r="AD103" s="17">
        <v>3.7667535093819201E-4</v>
      </c>
      <c r="AF103" s="25" t="s">
        <v>614</v>
      </c>
      <c r="AG103" s="15">
        <f t="shared" si="6"/>
        <v>0.17618961680494111</v>
      </c>
      <c r="AH103" s="15">
        <f t="shared" si="7"/>
        <v>6.2043743270849385E-3</v>
      </c>
      <c r="AI103" s="15">
        <v>8.3809999999999996E-2</v>
      </c>
      <c r="AJ103" s="15">
        <f t="shared" si="8"/>
        <v>7.5335070187638401E-4</v>
      </c>
      <c r="AR103" s="31" t="s">
        <v>825</v>
      </c>
      <c r="AS103">
        <v>5.7465563419220498</v>
      </c>
      <c r="AT103">
        <v>5.3957106987642701E-2</v>
      </c>
      <c r="AU103">
        <v>7.3132652701947104E-2</v>
      </c>
      <c r="AV103">
        <v>4.2459695056361497E-4</v>
      </c>
      <c r="AX103" s="31" t="s">
        <v>963</v>
      </c>
      <c r="AY103">
        <v>5.9022918711436096</v>
      </c>
      <c r="AZ103">
        <v>9.9030582643252499E-2</v>
      </c>
      <c r="BA103">
        <v>7.2858421913697596E-2</v>
      </c>
      <c r="BB103">
        <v>9.0456890763997199E-4</v>
      </c>
      <c r="BD103" s="31" t="s">
        <v>1112</v>
      </c>
      <c r="BE103">
        <v>4.7000011702997799</v>
      </c>
      <c r="BF103">
        <v>8.3853788179150804E-2</v>
      </c>
      <c r="BG103">
        <v>8.0442072221476799E-2</v>
      </c>
      <c r="BH103">
        <v>6.0759129581665805E-4</v>
      </c>
    </row>
    <row r="104" spans="1:60" x14ac:dyDescent="0.25">
      <c r="M104" s="9" t="s">
        <v>326</v>
      </c>
      <c r="N104" s="2">
        <v>4.9373433263719502</v>
      </c>
      <c r="O104" s="2">
        <v>0.17550493452739499</v>
      </c>
      <c r="P104" s="2">
        <v>8.4214353693022895E-2</v>
      </c>
      <c r="Q104" s="2">
        <v>5.6987848192674301E-3</v>
      </c>
      <c r="R104" s="2"/>
      <c r="S104" s="25" t="s">
        <v>374</v>
      </c>
      <c r="T104" s="16">
        <v>3.9937697192379886</v>
      </c>
      <c r="U104" s="16">
        <v>0.2548841411934305</v>
      </c>
      <c r="V104" s="16">
        <v>0.10304000000000001</v>
      </c>
      <c r="W104" s="16">
        <v>3.2599999999999999E-3</v>
      </c>
      <c r="X104" s="16">
        <v>0.89600000000000002</v>
      </c>
      <c r="Z104" s="23" t="s">
        <v>496</v>
      </c>
      <c r="AA104" s="17">
        <v>5.7815656155190096</v>
      </c>
      <c r="AB104" s="17">
        <v>0.10669601547287701</v>
      </c>
      <c r="AC104" s="17">
        <v>7.2086577509682906E-2</v>
      </c>
      <c r="AD104" s="17">
        <v>4.4252583660120399E-4</v>
      </c>
      <c r="AF104" s="25" t="s">
        <v>615</v>
      </c>
      <c r="AG104" s="15">
        <f t="shared" si="6"/>
        <v>0.17296353038280449</v>
      </c>
      <c r="AH104" s="15">
        <f t="shared" si="7"/>
        <v>6.3839176933082279E-3</v>
      </c>
      <c r="AI104" s="15">
        <v>9.2869999999999994E-2</v>
      </c>
      <c r="AJ104" s="15">
        <f t="shared" si="8"/>
        <v>8.8505167320240797E-4</v>
      </c>
      <c r="AR104" s="31" t="s">
        <v>826</v>
      </c>
      <c r="AS104">
        <v>5.7243990671467397</v>
      </c>
      <c r="AT104">
        <v>8.9643936569341207E-2</v>
      </c>
      <c r="AU104">
        <v>7.3123976158872395E-2</v>
      </c>
      <c r="AV104">
        <v>4.2306056226549702E-4</v>
      </c>
      <c r="AX104" s="31" t="s">
        <v>964</v>
      </c>
      <c r="AY104">
        <v>6.28291532756473</v>
      </c>
      <c r="AZ104">
        <v>9.3871780079200107E-2</v>
      </c>
      <c r="BA104">
        <v>7.1934333360188493E-2</v>
      </c>
      <c r="BB104">
        <v>2.8735809166798498E-4</v>
      </c>
      <c r="BD104" s="31" t="s">
        <v>1113</v>
      </c>
      <c r="BE104">
        <v>4.8971933160788801</v>
      </c>
      <c r="BF104">
        <v>7.3042309731515806E-2</v>
      </c>
      <c r="BG104">
        <v>8.0347937570759406E-2</v>
      </c>
      <c r="BH104">
        <v>4.6552055303021898E-4</v>
      </c>
    </row>
    <row r="105" spans="1:60" x14ac:dyDescent="0.25">
      <c r="M105" s="9" t="s">
        <v>327</v>
      </c>
      <c r="N105" s="2">
        <v>6.0741682244000099</v>
      </c>
      <c r="O105" s="2">
        <v>0.18136166205967999</v>
      </c>
      <c r="P105" s="2">
        <v>7.3938000184290503E-2</v>
      </c>
      <c r="Q105" s="2">
        <v>4.4927016132129101E-3</v>
      </c>
      <c r="R105" s="2"/>
      <c r="S105" s="25" t="s">
        <v>375</v>
      </c>
      <c r="T105" s="16">
        <v>5.7927359091699007</v>
      </c>
      <c r="U105" s="16">
        <v>0.16912117813946764</v>
      </c>
      <c r="V105" s="16">
        <v>8.0229999999999996E-2</v>
      </c>
      <c r="W105" s="16">
        <v>2.7399999999999998E-3</v>
      </c>
      <c r="X105" s="16">
        <v>0.65100000000000002</v>
      </c>
      <c r="Z105" s="23" t="s">
        <v>497</v>
      </c>
      <c r="AA105" s="17">
        <v>6.6395746244963298</v>
      </c>
      <c r="AB105" s="17">
        <v>0.20953679869515801</v>
      </c>
      <c r="AC105" s="17">
        <v>7.1483401658039694E-2</v>
      </c>
      <c r="AD105" s="17">
        <v>3.8260984513541901E-4</v>
      </c>
      <c r="AF105" s="25" t="s">
        <v>616</v>
      </c>
      <c r="AG105" s="15">
        <f t="shared" si="6"/>
        <v>0.15061205823495941</v>
      </c>
      <c r="AH105" s="15">
        <f t="shared" si="7"/>
        <v>9.5062621665574307E-3</v>
      </c>
      <c r="AI105" s="15">
        <v>9.0139999999999998E-2</v>
      </c>
      <c r="AJ105" s="15">
        <f t="shared" si="8"/>
        <v>7.6521969027083803E-4</v>
      </c>
      <c r="AR105" s="31" t="s">
        <v>827</v>
      </c>
      <c r="AS105">
        <v>5.6899353127258596</v>
      </c>
      <c r="AT105">
        <v>8.5491591758016502E-2</v>
      </c>
      <c r="AU105">
        <v>7.3092773610759595E-2</v>
      </c>
      <c r="AV105">
        <v>4.15396773938045E-4</v>
      </c>
      <c r="AX105" s="31" t="s">
        <v>965</v>
      </c>
      <c r="AY105">
        <v>6.2218636967198604</v>
      </c>
      <c r="AZ105">
        <v>6.5687848886483394E-2</v>
      </c>
      <c r="BA105">
        <v>7.1818586267360499E-2</v>
      </c>
      <c r="BB105">
        <v>8.3205029708853496E-4</v>
      </c>
      <c r="BD105" s="31" t="s">
        <v>1114</v>
      </c>
      <c r="BE105">
        <v>4.9141588088613402</v>
      </c>
      <c r="BF105">
        <v>9.3057345063665003E-2</v>
      </c>
      <c r="BG105">
        <v>7.9819610528071794E-2</v>
      </c>
      <c r="BH105">
        <v>6.18545945315491E-4</v>
      </c>
    </row>
    <row r="106" spans="1:60" x14ac:dyDescent="0.25">
      <c r="M106" s="9" t="s">
        <v>328</v>
      </c>
      <c r="N106" s="2">
        <v>3.5661887536304402</v>
      </c>
      <c r="O106" s="2">
        <v>0.10361641059436399</v>
      </c>
      <c r="P106" s="2">
        <v>0.102322880003373</v>
      </c>
      <c r="Q106" s="2">
        <v>5.3096835274726402E-3</v>
      </c>
      <c r="R106" s="2"/>
      <c r="S106" s="25" t="s">
        <v>376</v>
      </c>
      <c r="T106" s="16">
        <v>4.128989636236013</v>
      </c>
      <c r="U106" s="16">
        <v>0.17900983186951624</v>
      </c>
      <c r="V106" s="16">
        <v>9.9879999999999997E-2</v>
      </c>
      <c r="W106" s="16">
        <v>2.6800000000000001E-3</v>
      </c>
      <c r="X106" s="16">
        <v>0.85099999999999998</v>
      </c>
      <c r="Z106" s="23" t="s">
        <v>498</v>
      </c>
      <c r="AA106" s="17">
        <v>6.29881132634421</v>
      </c>
      <c r="AB106" s="17">
        <v>0.189285063749147</v>
      </c>
      <c r="AC106" s="17">
        <v>7.1488943138845601E-2</v>
      </c>
      <c r="AD106" s="17">
        <v>2.8326327731907701E-4</v>
      </c>
      <c r="AF106" s="25" t="s">
        <v>617</v>
      </c>
      <c r="AG106" s="15">
        <f t="shared" si="6"/>
        <v>0.15876011332766712</v>
      </c>
      <c r="AH106" s="15">
        <f t="shared" si="7"/>
        <v>9.5417743491899871E-3</v>
      </c>
      <c r="AI106" s="15">
        <v>7.5219999999999995E-2</v>
      </c>
      <c r="AJ106" s="15">
        <f t="shared" si="8"/>
        <v>5.6652655463815401E-4</v>
      </c>
      <c r="AR106" s="31" t="s">
        <v>828</v>
      </c>
      <c r="AS106">
        <v>5.8123671544893298</v>
      </c>
      <c r="AT106">
        <v>9.1720756909249995E-2</v>
      </c>
      <c r="AU106">
        <v>7.3101527497092006E-2</v>
      </c>
      <c r="AV106">
        <v>4.8499819212436697E-4</v>
      </c>
      <c r="AX106" s="31" t="s">
        <v>966</v>
      </c>
      <c r="AY106">
        <v>6.2256729596279499</v>
      </c>
      <c r="AZ106">
        <v>5.8187005783209601E-2</v>
      </c>
      <c r="BA106">
        <v>7.1570400316096794E-2</v>
      </c>
      <c r="BB106">
        <v>7.66651908360783E-4</v>
      </c>
      <c r="BD106" s="31" t="s">
        <v>1115</v>
      </c>
      <c r="BE106">
        <v>4.9864174708303004</v>
      </c>
      <c r="BF106">
        <v>8.7234886949050003E-2</v>
      </c>
      <c r="BG106">
        <v>7.9671780561196406E-2</v>
      </c>
      <c r="BH106">
        <v>2.7627254550996602E-4</v>
      </c>
    </row>
    <row r="107" spans="1:60" x14ac:dyDescent="0.25">
      <c r="M107" s="9" t="s">
        <v>329</v>
      </c>
      <c r="N107" s="2">
        <v>5.6894128494818101</v>
      </c>
      <c r="O107" s="2">
        <v>0.19038252439751599</v>
      </c>
      <c r="P107" s="2">
        <v>7.6797675147922503E-2</v>
      </c>
      <c r="Q107" s="2">
        <v>3.8241551520442701E-3</v>
      </c>
      <c r="R107" s="2"/>
      <c r="S107" s="25" t="s">
        <v>377</v>
      </c>
      <c r="T107" s="16">
        <v>4.3034815165468867</v>
      </c>
      <c r="U107" s="16">
        <v>0.14260363935710732</v>
      </c>
      <c r="V107" s="16">
        <v>9.6439999999999998E-2</v>
      </c>
      <c r="W107" s="16">
        <v>2.5799999999999998E-3</v>
      </c>
      <c r="X107" s="16">
        <v>0.77800000000000002</v>
      </c>
      <c r="Z107" s="23" t="s">
        <v>499</v>
      </c>
      <c r="AA107" s="17">
        <v>5.8931973524110601</v>
      </c>
      <c r="AB107" s="17">
        <v>0.11268027057365999</v>
      </c>
      <c r="AC107" s="17">
        <v>7.1396183122783105E-2</v>
      </c>
      <c r="AD107" s="17">
        <v>4.67216390952459E-4</v>
      </c>
      <c r="AF107" s="25" t="s">
        <v>618</v>
      </c>
      <c r="AG107" s="15">
        <f t="shared" si="6"/>
        <v>0.16968717322708937</v>
      </c>
      <c r="AH107" s="15">
        <f t="shared" si="7"/>
        <v>6.4889720973913398E-3</v>
      </c>
      <c r="AI107" s="15">
        <v>8.7770000000000001E-2</v>
      </c>
      <c r="AJ107" s="15">
        <f t="shared" si="8"/>
        <v>9.34432781904918E-4</v>
      </c>
      <c r="AR107" s="31" t="s">
        <v>829</v>
      </c>
      <c r="AS107">
        <v>5.8271162618600298</v>
      </c>
      <c r="AT107">
        <v>8.5436614469450195E-2</v>
      </c>
      <c r="AU107">
        <v>7.3024950662891899E-2</v>
      </c>
      <c r="AV107">
        <v>3.88137978623007E-4</v>
      </c>
      <c r="AX107" s="31" t="s">
        <v>967</v>
      </c>
      <c r="AY107">
        <v>6.2403198729517904</v>
      </c>
      <c r="AZ107">
        <v>5.9560931671146101E-2</v>
      </c>
      <c r="BA107">
        <v>7.1408616353596494E-2</v>
      </c>
      <c r="BB107">
        <v>7.6033372307961395E-4</v>
      </c>
      <c r="BD107" s="31" t="s">
        <v>1116</v>
      </c>
      <c r="BE107">
        <v>4.9745020515738396</v>
      </c>
      <c r="BF107">
        <v>8.6542291478318101E-2</v>
      </c>
      <c r="BG107">
        <v>7.9242552601453201E-2</v>
      </c>
      <c r="BH107">
        <v>4.1352901193921301E-4</v>
      </c>
    </row>
    <row r="108" spans="1:60" x14ac:dyDescent="0.25">
      <c r="M108" s="9" t="s">
        <v>330</v>
      </c>
      <c r="N108" s="2">
        <v>5.7749737366969702</v>
      </c>
      <c r="O108" s="2">
        <v>0.17038507556979399</v>
      </c>
      <c r="P108" s="2">
        <v>7.8828941031402602E-2</v>
      </c>
      <c r="Q108" s="2">
        <v>5.3834866768258599E-3</v>
      </c>
      <c r="R108" s="2"/>
      <c r="S108" s="25" t="s">
        <v>378</v>
      </c>
      <c r="T108" s="16">
        <v>4.4897409419476491</v>
      </c>
      <c r="U108" s="16">
        <v>0.26809839055315282</v>
      </c>
      <c r="V108" s="16">
        <v>9.35E-2</v>
      </c>
      <c r="W108" s="16">
        <v>2.7799999999999999E-3</v>
      </c>
      <c r="X108" s="16">
        <v>0.89600000000000002</v>
      </c>
      <c r="Z108" s="23" t="s">
        <v>500</v>
      </c>
      <c r="AA108" s="17">
        <v>6.3334895132452198</v>
      </c>
      <c r="AB108" s="17">
        <v>0.24554823064185199</v>
      </c>
      <c r="AC108" s="17">
        <v>7.1235485533796494E-2</v>
      </c>
      <c r="AD108" s="17">
        <v>3.9730677409399203E-4</v>
      </c>
      <c r="AF108" s="25" t="s">
        <v>619</v>
      </c>
      <c r="AG108" s="15">
        <f t="shared" si="6"/>
        <v>0.15789084325610725</v>
      </c>
      <c r="AH108" s="15">
        <f t="shared" si="7"/>
        <v>1.2242798259950649E-2</v>
      </c>
      <c r="AI108" s="15">
        <v>8.5760000000000003E-2</v>
      </c>
      <c r="AJ108" s="15">
        <f t="shared" si="8"/>
        <v>7.9461354818798405E-4</v>
      </c>
      <c r="AR108" s="31" t="s">
        <v>830</v>
      </c>
      <c r="AS108">
        <v>5.7492296347958796</v>
      </c>
      <c r="AT108">
        <v>5.6024316636194602E-2</v>
      </c>
      <c r="AU108">
        <v>7.2911621593802198E-2</v>
      </c>
      <c r="AV108">
        <v>5.7943973760338902E-4</v>
      </c>
      <c r="AX108" s="31" t="s">
        <v>968</v>
      </c>
      <c r="AY108">
        <v>6.3777001121221</v>
      </c>
      <c r="AZ108">
        <v>7.2755622532621606E-2</v>
      </c>
      <c r="BA108">
        <v>7.1414202458963599E-2</v>
      </c>
      <c r="BB108">
        <v>6.5260960612450395E-4</v>
      </c>
      <c r="BD108" s="31" t="s">
        <v>1117</v>
      </c>
      <c r="BE108">
        <v>4.9943000163708602</v>
      </c>
      <c r="BF108">
        <v>8.2942573013718296E-2</v>
      </c>
      <c r="BG108">
        <v>7.8385711035002206E-2</v>
      </c>
      <c r="BH108">
        <v>5.4107309288230199E-4</v>
      </c>
    </row>
    <row r="109" spans="1:60" x14ac:dyDescent="0.25">
      <c r="M109" s="9" t="s">
        <v>331</v>
      </c>
      <c r="N109" s="2">
        <v>5.3482263444939102</v>
      </c>
      <c r="O109" s="2">
        <v>0.25164888846960598</v>
      </c>
      <c r="P109" s="2">
        <v>8.0006356168598802E-2</v>
      </c>
      <c r="Q109" s="2">
        <v>7.3650620611829098E-3</v>
      </c>
      <c r="R109" s="2"/>
      <c r="S109" s="25" t="s">
        <v>379</v>
      </c>
      <c r="T109" s="16">
        <v>3.8314176245210727</v>
      </c>
      <c r="U109" s="16">
        <v>0.14092570572951071</v>
      </c>
      <c r="V109" s="16">
        <v>0.10463</v>
      </c>
      <c r="W109" s="16">
        <v>2.5200000000000001E-3</v>
      </c>
      <c r="X109" s="16">
        <v>0.83799999999999997</v>
      </c>
      <c r="Z109" s="23" t="s">
        <v>501</v>
      </c>
      <c r="AA109" s="17">
        <v>6.4275749853042896</v>
      </c>
      <c r="AB109" s="17">
        <v>0.24995025065273199</v>
      </c>
      <c r="AC109" s="17">
        <v>7.1054671235879205E-2</v>
      </c>
      <c r="AD109" s="17">
        <v>4.9967744300453E-4</v>
      </c>
      <c r="AF109" s="25" t="s">
        <v>620</v>
      </c>
      <c r="AG109" s="15">
        <f t="shared" si="6"/>
        <v>0.15557967076017842</v>
      </c>
      <c r="AH109" s="15">
        <f t="shared" si="7"/>
        <v>1.2100108607643151E-2</v>
      </c>
      <c r="AI109" s="15">
        <v>7.5270000000000004E-2</v>
      </c>
      <c r="AJ109" s="15">
        <f t="shared" si="8"/>
        <v>9.9935488600906E-4</v>
      </c>
      <c r="AR109" s="31" t="s">
        <v>831</v>
      </c>
      <c r="AS109">
        <v>5.8021799451296499</v>
      </c>
      <c r="AT109">
        <v>9.9620370839882996E-2</v>
      </c>
      <c r="AU109">
        <v>7.2886168221286005E-2</v>
      </c>
      <c r="AV109">
        <v>5.1184691868202199E-4</v>
      </c>
      <c r="AX109" s="31" t="s">
        <v>969</v>
      </c>
      <c r="AY109">
        <v>6.25273149389953</v>
      </c>
      <c r="AZ109">
        <v>4.5120638061761899E-2</v>
      </c>
      <c r="BA109">
        <v>7.1227485698331705E-2</v>
      </c>
      <c r="BB109">
        <v>6.1797675583158298E-4</v>
      </c>
      <c r="BD109" s="31" t="s">
        <v>1118</v>
      </c>
      <c r="BE109">
        <v>5.2150277322771901</v>
      </c>
      <c r="BF109">
        <v>8.33742525158334E-2</v>
      </c>
      <c r="BG109">
        <v>7.8300871494419999E-2</v>
      </c>
      <c r="BH109">
        <v>2.49622326007768E-4</v>
      </c>
    </row>
    <row r="110" spans="1:60" x14ac:dyDescent="0.25">
      <c r="M110" s="9" t="s">
        <v>332</v>
      </c>
      <c r="N110" s="2">
        <v>5.7377288027715601</v>
      </c>
      <c r="O110" s="2">
        <v>0.25488179272064299</v>
      </c>
      <c r="P110" s="2">
        <v>7.7845254712762102E-2</v>
      </c>
      <c r="Q110" s="2">
        <v>5.6924160103382204E-3</v>
      </c>
      <c r="R110" s="2"/>
      <c r="S110" s="25" t="s">
        <v>380</v>
      </c>
      <c r="T110" s="16">
        <v>4.5337081198712426</v>
      </c>
      <c r="U110" s="16">
        <v>0.1183939736612339</v>
      </c>
      <c r="V110" s="16">
        <v>9.1550000000000006E-2</v>
      </c>
      <c r="W110" s="16">
        <v>2.4199999999999998E-3</v>
      </c>
      <c r="X110" s="16">
        <v>0.70399999999999996</v>
      </c>
      <c r="Z110" s="23" t="s">
        <v>502</v>
      </c>
      <c r="AA110" s="17">
        <v>6.3085431959355001</v>
      </c>
      <c r="AB110" s="17">
        <v>0.19557521452604901</v>
      </c>
      <c r="AC110" s="17">
        <v>7.0990550915827899E-2</v>
      </c>
      <c r="AD110" s="17">
        <v>3.3009651838316798E-4</v>
      </c>
      <c r="AF110" s="25" t="s">
        <v>621</v>
      </c>
      <c r="AG110" s="15">
        <f t="shared" si="6"/>
        <v>0.15851520215384829</v>
      </c>
      <c r="AH110" s="15">
        <f t="shared" si="7"/>
        <v>9.8284639429441663E-3</v>
      </c>
      <c r="AI110" s="15">
        <v>8.788E-2</v>
      </c>
      <c r="AJ110" s="15">
        <f t="shared" si="8"/>
        <v>6.6019303676633596E-4</v>
      </c>
      <c r="AR110" s="31" t="s">
        <v>832</v>
      </c>
      <c r="AS110">
        <v>5.8331531653805202</v>
      </c>
      <c r="AT110">
        <v>0.110173093076277</v>
      </c>
      <c r="AU110">
        <v>7.2955095353326199E-2</v>
      </c>
      <c r="AV110">
        <v>7.7383009879244198E-4</v>
      </c>
      <c r="AX110" s="31" t="s">
        <v>970</v>
      </c>
      <c r="AY110">
        <v>6.3092890815248603</v>
      </c>
      <c r="AZ110">
        <v>0.12120306181250901</v>
      </c>
      <c r="BA110">
        <v>7.1453548476346704E-2</v>
      </c>
      <c r="BB110">
        <v>1.07963750946276E-3</v>
      </c>
      <c r="BD110" s="31" t="s">
        <v>1119</v>
      </c>
      <c r="BE110">
        <v>5.1609088998886499</v>
      </c>
      <c r="BF110">
        <v>8.5088491773058106E-2</v>
      </c>
      <c r="BG110">
        <v>7.80015183986454E-2</v>
      </c>
      <c r="BH110">
        <v>5.0401347749721797E-4</v>
      </c>
    </row>
    <row r="111" spans="1:60" x14ac:dyDescent="0.25">
      <c r="M111" s="9" t="s">
        <v>333</v>
      </c>
      <c r="N111" s="2">
        <v>3.8966827093787599</v>
      </c>
      <c r="O111" s="2">
        <v>0.13971813520799001</v>
      </c>
      <c r="P111" s="2">
        <v>0.100849412403085</v>
      </c>
      <c r="Q111" s="2">
        <v>5.9656347584313698E-3</v>
      </c>
      <c r="R111" s="2"/>
      <c r="S111" s="25" t="s">
        <v>381</v>
      </c>
      <c r="T111" s="16">
        <v>4.419694157164324</v>
      </c>
      <c r="U111" s="16">
        <v>0.17345922441270753</v>
      </c>
      <c r="V111" s="16">
        <v>9.3160000000000007E-2</v>
      </c>
      <c r="W111" s="16">
        <v>2.5999999999999999E-3</v>
      </c>
      <c r="X111" s="16">
        <v>0.81399999999999995</v>
      </c>
      <c r="Z111" s="23" t="s">
        <v>503</v>
      </c>
      <c r="AA111" s="17">
        <v>6.2838830553872702</v>
      </c>
      <c r="AB111" s="17">
        <v>0.19157688996282299</v>
      </c>
      <c r="AC111" s="17">
        <v>7.0767396501973501E-2</v>
      </c>
      <c r="AD111" s="17">
        <v>4.1467399907922799E-4</v>
      </c>
      <c r="AF111" s="25" t="s">
        <v>622</v>
      </c>
      <c r="AG111" s="15">
        <f t="shared" si="6"/>
        <v>0.15913727088582347</v>
      </c>
      <c r="AH111" s="15">
        <f t="shared" si="7"/>
        <v>9.7032434132714659E-3</v>
      </c>
      <c r="AI111" s="15">
        <v>8.8279999999999997E-2</v>
      </c>
      <c r="AJ111" s="15">
        <f t="shared" si="8"/>
        <v>8.2934799815845598E-4</v>
      </c>
      <c r="AR111" s="31" t="s">
        <v>833</v>
      </c>
      <c r="AS111">
        <v>5.7702149777121203</v>
      </c>
      <c r="AT111">
        <v>0.16412869180136899</v>
      </c>
      <c r="AU111">
        <v>7.2950012226310396E-2</v>
      </c>
      <c r="AV111">
        <v>1.04905520317935E-3</v>
      </c>
      <c r="AX111" s="31" t="s">
        <v>971</v>
      </c>
      <c r="AY111">
        <v>6.1369869591053696</v>
      </c>
      <c r="AZ111">
        <v>6.3875795011782893E-2</v>
      </c>
      <c r="BA111">
        <v>7.1179360556909696E-2</v>
      </c>
      <c r="BB111">
        <v>5.1583561504617997E-4</v>
      </c>
      <c r="BD111" s="31" t="s">
        <v>1120</v>
      </c>
      <c r="BE111">
        <v>5.2412958324225798</v>
      </c>
      <c r="BF111">
        <v>8.4103657811079702E-2</v>
      </c>
      <c r="BG111">
        <v>7.7723315697975207E-2</v>
      </c>
      <c r="BH111">
        <v>3.8790325800435599E-4</v>
      </c>
    </row>
    <row r="112" spans="1:60" x14ac:dyDescent="0.25">
      <c r="M112" s="9" t="s">
        <v>334</v>
      </c>
      <c r="N112" s="2">
        <v>5.0368948950620602</v>
      </c>
      <c r="O112" s="2">
        <v>0.20576093430964501</v>
      </c>
      <c r="P112" s="2">
        <v>8.4637796442716295E-2</v>
      </c>
      <c r="Q112" s="2">
        <v>6.0426783803437497E-3</v>
      </c>
      <c r="R112" s="2"/>
      <c r="S112" s="25" t="s">
        <v>382</v>
      </c>
      <c r="T112" s="16">
        <v>12.161011796181443</v>
      </c>
      <c r="U112" s="16">
        <v>0.32831626155323851</v>
      </c>
      <c r="V112" s="16">
        <v>5.9409999999999998E-2</v>
      </c>
      <c r="W112" s="16">
        <v>2.2799999999999999E-3</v>
      </c>
      <c r="X112" s="16">
        <v>0.57699999999999996</v>
      </c>
      <c r="Z112" s="23" t="s">
        <v>504</v>
      </c>
      <c r="AA112" s="17">
        <v>6.3648781911397299</v>
      </c>
      <c r="AB112" s="17">
        <v>0.19137611648610101</v>
      </c>
      <c r="AC112" s="17">
        <v>7.0641766949990997E-2</v>
      </c>
      <c r="AD112" s="17">
        <v>3.9003728412167701E-4</v>
      </c>
      <c r="AF112" s="25" t="s">
        <v>623</v>
      </c>
      <c r="AG112" s="15">
        <f t="shared" si="6"/>
        <v>0.15711219758958725</v>
      </c>
      <c r="AH112" s="15">
        <f t="shared" si="7"/>
        <v>9.4479489864072678E-3</v>
      </c>
      <c r="AI112" s="15">
        <v>0.14940999999999999</v>
      </c>
      <c r="AJ112" s="15">
        <f t="shared" si="8"/>
        <v>7.8007456824335402E-4</v>
      </c>
      <c r="AR112" s="31" t="s">
        <v>834</v>
      </c>
      <c r="AS112">
        <v>5.72015178932274</v>
      </c>
      <c r="AT112">
        <v>9.9666112093970596E-2</v>
      </c>
      <c r="AU112">
        <v>7.2645931949394602E-2</v>
      </c>
      <c r="AV112">
        <v>5.2674856873702303E-4</v>
      </c>
      <c r="AX112" s="31" t="s">
        <v>972</v>
      </c>
      <c r="AY112">
        <v>6.1706733924037396</v>
      </c>
      <c r="AZ112">
        <v>5.4145851627023997E-2</v>
      </c>
      <c r="BA112">
        <v>7.1064027420334006E-2</v>
      </c>
      <c r="BB112">
        <v>3.9469430782092398E-4</v>
      </c>
      <c r="BD112" s="31" t="s">
        <v>1121</v>
      </c>
      <c r="BE112">
        <v>5.0960920983707103</v>
      </c>
      <c r="BF112">
        <v>9.2062289585390103E-2</v>
      </c>
      <c r="BG112">
        <v>7.7568872154733501E-2</v>
      </c>
      <c r="BH112">
        <v>5.9615345236383203E-4</v>
      </c>
    </row>
    <row r="113" spans="13:60" x14ac:dyDescent="0.25">
      <c r="M113" s="9" t="s">
        <v>335</v>
      </c>
      <c r="N113" s="2">
        <v>5.6633159691464598</v>
      </c>
      <c r="O113" s="2">
        <v>0.27781423872543198</v>
      </c>
      <c r="P113" s="2">
        <v>7.8627935511775895E-2</v>
      </c>
      <c r="Q113" s="2">
        <v>8.7491311247465901E-3</v>
      </c>
      <c r="R113" s="2"/>
      <c r="S113" s="25" t="s">
        <v>383</v>
      </c>
      <c r="T113" s="16">
        <v>3.9657360406091371</v>
      </c>
      <c r="U113" s="16">
        <v>0.18243392318792034</v>
      </c>
      <c r="V113" s="16">
        <v>0.10073</v>
      </c>
      <c r="W113" s="16">
        <v>2.32E-3</v>
      </c>
      <c r="X113" s="16">
        <v>0.89500000000000002</v>
      </c>
      <c r="Z113" s="23" t="s">
        <v>505</v>
      </c>
      <c r="AA113" s="17">
        <v>6.7266982912341602</v>
      </c>
      <c r="AB113" s="17">
        <v>0.205974432220809</v>
      </c>
      <c r="AC113" s="17">
        <v>7.0392234754315303E-2</v>
      </c>
      <c r="AD113" s="17">
        <v>4.3290388844165699E-4</v>
      </c>
      <c r="AF113" s="25" t="s">
        <v>624</v>
      </c>
      <c r="AG113" s="15">
        <f t="shared" si="6"/>
        <v>0.1486613427129832</v>
      </c>
      <c r="AH113" s="15">
        <f t="shared" si="7"/>
        <v>9.1041501588952113E-3</v>
      </c>
      <c r="AI113" s="15">
        <v>9.819E-2</v>
      </c>
      <c r="AJ113" s="15">
        <f t="shared" si="8"/>
        <v>8.6580777688331399E-4</v>
      </c>
      <c r="AR113" s="31" t="s">
        <v>835</v>
      </c>
      <c r="AS113">
        <v>5.8051092137274303</v>
      </c>
      <c r="AT113">
        <v>8.8529903931785295E-2</v>
      </c>
      <c r="AU113">
        <v>7.2606996158514306E-2</v>
      </c>
      <c r="AV113">
        <v>7.6922276816295497E-4</v>
      </c>
      <c r="AX113" s="31" t="s">
        <v>973</v>
      </c>
      <c r="AY113">
        <v>6.2989171215020097</v>
      </c>
      <c r="AZ113">
        <v>6.43146989430078E-2</v>
      </c>
      <c r="BA113">
        <v>7.1033757544209E-2</v>
      </c>
      <c r="BB113">
        <v>5.6280359257257604E-4</v>
      </c>
      <c r="BD113" s="31" t="s">
        <v>1122</v>
      </c>
      <c r="BE113">
        <v>5.2407035402865398</v>
      </c>
      <c r="BF113">
        <v>8.6484421684481394E-2</v>
      </c>
      <c r="BG113">
        <v>7.7408748943653002E-2</v>
      </c>
      <c r="BH113">
        <v>5.2077576351638197E-4</v>
      </c>
    </row>
    <row r="114" spans="13:60" x14ac:dyDescent="0.25">
      <c r="M114" s="26" t="s">
        <v>350</v>
      </c>
      <c r="N114" s="13">
        <v>5.3009917810179497</v>
      </c>
      <c r="O114" s="13">
        <v>0.225015944365201</v>
      </c>
      <c r="P114" s="13">
        <v>7.15379450137969E-2</v>
      </c>
      <c r="Q114" s="13">
        <v>7.0169616714289198E-3</v>
      </c>
      <c r="S114" s="25" t="s">
        <v>384</v>
      </c>
      <c r="T114" s="16">
        <v>6.5945660775520976</v>
      </c>
      <c r="U114" s="16">
        <v>0.19221829374030777</v>
      </c>
      <c r="V114" s="16">
        <v>7.3679999999999995E-2</v>
      </c>
      <c r="W114" s="16">
        <v>3.5599999999999998E-3</v>
      </c>
      <c r="X114" s="16">
        <v>0.51600000000000001</v>
      </c>
      <c r="Z114" s="23" t="s">
        <v>506</v>
      </c>
      <c r="AA114" s="17">
        <v>9.8929309978513107</v>
      </c>
      <c r="AB114" s="17">
        <v>0.29733524511901799</v>
      </c>
      <c r="AC114" s="17">
        <v>6.1485620764541497E-2</v>
      </c>
      <c r="AD114" s="17">
        <v>3.6489145928148199E-4</v>
      </c>
      <c r="AF114" s="25" t="s">
        <v>625</v>
      </c>
      <c r="AG114" s="15">
        <f t="shared" si="6"/>
        <v>0.10108227786256616</v>
      </c>
      <c r="AH114" s="15">
        <f t="shared" si="7"/>
        <v>6.0761211964346345E-3</v>
      </c>
      <c r="AI114" s="15">
        <v>7.6020000000000004E-2</v>
      </c>
      <c r="AJ114" s="15">
        <f t="shared" si="8"/>
        <v>7.2978291856296397E-4</v>
      </c>
      <c r="AR114" s="31" t="s">
        <v>836</v>
      </c>
      <c r="AS114">
        <v>5.6508846094456402</v>
      </c>
      <c r="AT114">
        <v>0.15419730694157799</v>
      </c>
      <c r="AU114">
        <v>7.2604056051139301E-2</v>
      </c>
      <c r="AV114">
        <v>1.0126777170543499E-3</v>
      </c>
      <c r="AX114" s="31" t="s">
        <v>974</v>
      </c>
      <c r="AY114">
        <v>5.87425293515905</v>
      </c>
      <c r="AZ114">
        <v>9.2779950658343699E-2</v>
      </c>
      <c r="BA114">
        <v>7.1058458917000397E-2</v>
      </c>
      <c r="BB114">
        <v>4.7730220994335798E-4</v>
      </c>
      <c r="BD114" s="31" t="s">
        <v>1123</v>
      </c>
      <c r="BE114">
        <v>5.1590952229197597</v>
      </c>
      <c r="BF114">
        <v>8.5813218937314403E-2</v>
      </c>
      <c r="BG114">
        <v>7.6930067882776704E-2</v>
      </c>
      <c r="BH114">
        <v>5.4770382084331798E-4</v>
      </c>
    </row>
    <row r="115" spans="13:60" x14ac:dyDescent="0.25">
      <c r="M115" s="27" t="s">
        <v>351</v>
      </c>
      <c r="N115" s="12">
        <v>5.53397859503725</v>
      </c>
      <c r="O115" s="12">
        <v>0.20702645378829701</v>
      </c>
      <c r="P115" s="12">
        <v>7.5396454469833799E-2</v>
      </c>
      <c r="Q115" s="12">
        <v>7.9420596155606194E-3</v>
      </c>
      <c r="S115" s="25" t="s">
        <v>385</v>
      </c>
      <c r="T115" s="16">
        <v>7.2332730560578655</v>
      </c>
      <c r="U115" s="16">
        <v>0.23753388552985683</v>
      </c>
      <c r="V115" s="16">
        <v>7.0599999999999996E-2</v>
      </c>
      <c r="W115" s="16">
        <v>1.98E-3</v>
      </c>
      <c r="X115" s="16">
        <v>0.75900000000000001</v>
      </c>
      <c r="Z115" s="24" t="s">
        <v>507</v>
      </c>
      <c r="AA115" s="18">
        <v>6.3308408472682496</v>
      </c>
      <c r="AB115" s="18">
        <v>0.24007880084029901</v>
      </c>
      <c r="AC115" s="18">
        <v>9.1680767709870895E-2</v>
      </c>
      <c r="AD115" s="18">
        <v>4.3679969478957101E-4</v>
      </c>
      <c r="AF115" s="25" t="s">
        <v>626</v>
      </c>
      <c r="AG115" s="15">
        <f t="shared" si="6"/>
        <v>0.15795690084856562</v>
      </c>
      <c r="AH115" s="15">
        <f t="shared" si="7"/>
        <v>1.1980115834545732E-2</v>
      </c>
      <c r="AI115" s="15">
        <v>0.18107000000000001</v>
      </c>
      <c r="AJ115" s="15">
        <f t="shared" si="8"/>
        <v>8.7359938957914203E-4</v>
      </c>
      <c r="AR115" s="31" t="s">
        <v>837</v>
      </c>
      <c r="AS115">
        <v>6.0484189171147804</v>
      </c>
      <c r="AT115">
        <v>6.1997451370112602E-2</v>
      </c>
      <c r="AU115">
        <v>7.2053942979378796E-2</v>
      </c>
      <c r="AV115">
        <v>4.3510402628237001E-4</v>
      </c>
      <c r="AX115" s="31" t="s">
        <v>975</v>
      </c>
      <c r="AY115">
        <v>6.5466169613121297</v>
      </c>
      <c r="AZ115">
        <v>7.7395371557029094E-2</v>
      </c>
      <c r="BA115">
        <v>7.0785405910439206E-2</v>
      </c>
      <c r="BB115">
        <v>4.3607225057235098E-4</v>
      </c>
      <c r="BD115" s="31" t="s">
        <v>1124</v>
      </c>
      <c r="BE115">
        <v>5.2006054691737802</v>
      </c>
      <c r="BF115">
        <v>8.6114726094665695E-2</v>
      </c>
      <c r="BG115">
        <v>7.6360978195663606E-2</v>
      </c>
      <c r="BH115">
        <v>5.0724218683686898E-4</v>
      </c>
    </row>
    <row r="116" spans="13:60" x14ac:dyDescent="0.25">
      <c r="M116" s="27" t="s">
        <v>352</v>
      </c>
      <c r="N116" s="12">
        <v>5.05438389366312</v>
      </c>
      <c r="O116" s="12">
        <v>0.18127384970295399</v>
      </c>
      <c r="P116" s="12">
        <v>7.3481420682852197E-2</v>
      </c>
      <c r="Q116" s="12">
        <v>4.61691193047246E-3</v>
      </c>
      <c r="S116" s="25" t="s">
        <v>386</v>
      </c>
      <c r="T116" s="16">
        <v>3.6497682397167779</v>
      </c>
      <c r="U116" s="16">
        <v>0.25575951750998988</v>
      </c>
      <c r="V116" s="16">
        <v>0.10680000000000001</v>
      </c>
      <c r="W116" s="16">
        <v>2.8400000000000001E-3</v>
      </c>
      <c r="X116" s="16">
        <v>0.93500000000000005</v>
      </c>
      <c r="Z116" s="24" t="s">
        <v>508</v>
      </c>
      <c r="AA116" s="18">
        <v>4.7191133893680997</v>
      </c>
      <c r="AB116" s="18">
        <v>0.152237283225298</v>
      </c>
      <c r="AC116" s="18">
        <v>0.10650053427281</v>
      </c>
      <c r="AD116" s="18">
        <v>5.5182106566967898E-4</v>
      </c>
      <c r="AF116" s="25" t="s">
        <v>627</v>
      </c>
      <c r="AG116" s="15">
        <f t="shared" si="6"/>
        <v>0.21190421112850233</v>
      </c>
      <c r="AH116" s="15">
        <f t="shared" si="7"/>
        <v>1.3671941631613477E-2</v>
      </c>
      <c r="AI116" s="15">
        <v>7.775E-2</v>
      </c>
      <c r="AJ116" s="15">
        <f t="shared" si="8"/>
        <v>1.103642131339358E-3</v>
      </c>
      <c r="AR116" s="31" t="s">
        <v>838</v>
      </c>
      <c r="AS116">
        <v>5.9728706312052404</v>
      </c>
      <c r="AT116">
        <v>8.2303235049752496E-2</v>
      </c>
      <c r="AU116">
        <v>7.1948750303855905E-2</v>
      </c>
      <c r="AV116">
        <v>3.0330761522136902E-4</v>
      </c>
      <c r="AX116" s="31" t="s">
        <v>976</v>
      </c>
      <c r="AY116">
        <v>6.4205431132102504</v>
      </c>
      <c r="AZ116">
        <v>4.9023324689631199E-2</v>
      </c>
      <c r="BA116">
        <v>7.0742292160066403E-2</v>
      </c>
      <c r="BB116">
        <v>6.5072511146844504E-4</v>
      </c>
      <c r="BD116" s="31" t="s">
        <v>1125</v>
      </c>
      <c r="BE116">
        <v>5.5155415858941197</v>
      </c>
      <c r="BF116">
        <v>9.0776914919034293E-2</v>
      </c>
      <c r="BG116">
        <v>7.5907914710555205E-2</v>
      </c>
      <c r="BH116">
        <v>3.8538080860938399E-4</v>
      </c>
    </row>
    <row r="117" spans="13:60" x14ac:dyDescent="0.25">
      <c r="M117" s="27" t="s">
        <v>353</v>
      </c>
      <c r="N117" s="12">
        <v>5.1759920382925797</v>
      </c>
      <c r="O117" s="12">
        <v>0.15096936931468999</v>
      </c>
      <c r="P117" s="12">
        <v>7.4144921381445197E-2</v>
      </c>
      <c r="Q117" s="12">
        <v>3.7410505168229899E-3</v>
      </c>
      <c r="S117" s="25" t="s">
        <v>387</v>
      </c>
      <c r="T117" s="16">
        <v>8.4438064679557545</v>
      </c>
      <c r="U117" s="16">
        <v>0.29945104420682406</v>
      </c>
      <c r="V117" s="16">
        <v>6.6189999999999999E-2</v>
      </c>
      <c r="W117" s="16">
        <v>2.0200000000000001E-3</v>
      </c>
      <c r="X117" s="16">
        <v>0.75900000000000001</v>
      </c>
      <c r="Z117" s="24" t="s">
        <v>509</v>
      </c>
      <c r="AA117" s="18">
        <v>7.4198468084608198</v>
      </c>
      <c r="AB117" s="18">
        <v>0.29919980420786502</v>
      </c>
      <c r="AC117" s="18">
        <v>7.6826035866397496E-2</v>
      </c>
      <c r="AD117" s="18">
        <v>3.5885050014016899E-4</v>
      </c>
      <c r="AF117" s="25" t="s">
        <v>628</v>
      </c>
      <c r="AG117" s="15">
        <f t="shared" si="6"/>
        <v>0.13477367199275656</v>
      </c>
      <c r="AH117" s="15">
        <f t="shared" si="7"/>
        <v>1.0869296176472592E-2</v>
      </c>
      <c r="AI117" s="15">
        <v>8.7169999999999997E-2</v>
      </c>
      <c r="AJ117" s="15">
        <f t="shared" si="8"/>
        <v>7.1770100028033799E-4</v>
      </c>
      <c r="AR117" s="31" t="s">
        <v>839</v>
      </c>
      <c r="AS117">
        <v>6.0889490935354802</v>
      </c>
      <c r="AT117">
        <v>9.32142161949924E-2</v>
      </c>
      <c r="AU117">
        <v>7.1834845367435604E-2</v>
      </c>
      <c r="AV117">
        <v>2.8661436330189999E-4</v>
      </c>
      <c r="AX117" s="31" t="s">
        <v>977</v>
      </c>
      <c r="AY117">
        <v>6.4948698876732696</v>
      </c>
      <c r="AZ117">
        <v>6.5881193439112806E-2</v>
      </c>
      <c r="BA117">
        <v>7.0307045384152903E-2</v>
      </c>
      <c r="BB117">
        <v>4.9776385843149301E-4</v>
      </c>
      <c r="BD117" s="31" t="s">
        <v>1126</v>
      </c>
      <c r="BE117">
        <v>5.52452049656213</v>
      </c>
      <c r="BF117">
        <v>0.14473237494181099</v>
      </c>
      <c r="BG117">
        <v>7.5230048239053104E-2</v>
      </c>
      <c r="BH117">
        <v>9.7103240623453899E-4</v>
      </c>
    </row>
    <row r="118" spans="13:60" x14ac:dyDescent="0.25">
      <c r="M118" s="27" t="s">
        <v>354</v>
      </c>
      <c r="N118" s="12">
        <v>5.52083586620655</v>
      </c>
      <c r="O118" s="12">
        <v>0.21254995787266601</v>
      </c>
      <c r="P118" s="12">
        <v>7.4731716326920897E-2</v>
      </c>
      <c r="Q118" s="12">
        <v>6.3144389854013702E-3</v>
      </c>
      <c r="S118" s="25" t="s">
        <v>388</v>
      </c>
      <c r="T118" s="16">
        <v>5.2896059243586357</v>
      </c>
      <c r="U118" s="16">
        <v>0.17683316287726306</v>
      </c>
      <c r="V118" s="16">
        <v>8.2229999999999998E-2</v>
      </c>
      <c r="W118" s="16">
        <v>1.92E-3</v>
      </c>
      <c r="X118" s="16">
        <v>0.82</v>
      </c>
      <c r="Z118" s="24" t="s">
        <v>510</v>
      </c>
      <c r="AA118" s="18">
        <v>4.7194671280619298</v>
      </c>
      <c r="AB118" s="18">
        <v>0.15986643162280301</v>
      </c>
      <c r="AC118" s="18">
        <v>0.101848567649406</v>
      </c>
      <c r="AD118" s="18">
        <v>6.3183080282747496E-4</v>
      </c>
      <c r="AR118" s="31" t="s">
        <v>840</v>
      </c>
      <c r="AS118">
        <v>6.0875499126833201</v>
      </c>
      <c r="AT118">
        <v>0.10178316718941301</v>
      </c>
      <c r="AU118">
        <v>7.1787037322582403E-2</v>
      </c>
      <c r="AV118">
        <v>7.1373625706728702E-4</v>
      </c>
      <c r="AX118" s="31" t="s">
        <v>978</v>
      </c>
      <c r="AY118">
        <v>6.3446341908625996</v>
      </c>
      <c r="AZ118">
        <v>6.6667014055398696E-2</v>
      </c>
      <c r="BA118">
        <v>7.0337832541671405E-2</v>
      </c>
      <c r="BB118">
        <v>6.2642612437815602E-4</v>
      </c>
      <c r="BD118" s="31" t="s">
        <v>1127</v>
      </c>
      <c r="BE118">
        <v>5.5283930806201402</v>
      </c>
      <c r="BF118">
        <v>0.115301220230232</v>
      </c>
      <c r="BG118">
        <v>7.5095746427607094E-2</v>
      </c>
      <c r="BH118">
        <v>9.0731420158324998E-4</v>
      </c>
    </row>
    <row r="119" spans="13:60" x14ac:dyDescent="0.25">
      <c r="M119" s="27" t="s">
        <v>355</v>
      </c>
      <c r="N119" s="12">
        <v>6.1116620499038996</v>
      </c>
      <c r="O119" s="12">
        <v>0.20831986182300199</v>
      </c>
      <c r="P119" s="12">
        <v>7.6057941789704694E-2</v>
      </c>
      <c r="Q119" s="12">
        <v>4.3376128340895399E-3</v>
      </c>
      <c r="S119" s="25" t="s">
        <v>389</v>
      </c>
      <c r="T119" s="16">
        <v>3.5555555555555554</v>
      </c>
      <c r="U119" s="16">
        <v>0.17976888888888889</v>
      </c>
      <c r="V119" s="16">
        <v>0.10809000000000001</v>
      </c>
      <c r="W119" s="16">
        <v>3.2000000000000002E-3</v>
      </c>
      <c r="X119" s="16">
        <v>0.86299999999999999</v>
      </c>
      <c r="Z119" s="24" t="s">
        <v>511</v>
      </c>
      <c r="AA119" s="18">
        <v>3.8610912620550701</v>
      </c>
      <c r="AB119" s="18">
        <v>0.148048940351174</v>
      </c>
      <c r="AC119" s="18">
        <v>0.107908536966284</v>
      </c>
      <c r="AD119" s="18">
        <v>3.4613727537087199E-4</v>
      </c>
      <c r="AR119" s="31" t="s">
        <v>841</v>
      </c>
      <c r="AS119">
        <v>6.0928151178903498</v>
      </c>
      <c r="AT119">
        <v>8.5226487095209899E-2</v>
      </c>
      <c r="AU119">
        <v>7.1631395443384996E-2</v>
      </c>
      <c r="AV119">
        <v>2.8510185420480699E-4</v>
      </c>
      <c r="AX119" s="31" t="s">
        <v>979</v>
      </c>
      <c r="AY119">
        <v>6.3284977672617497</v>
      </c>
      <c r="AZ119">
        <v>9.7118694494548505E-2</v>
      </c>
      <c r="BA119">
        <v>7.0284766206433993E-2</v>
      </c>
      <c r="BB119">
        <v>4.342070268149E-4</v>
      </c>
      <c r="BD119" s="31" t="s">
        <v>1128</v>
      </c>
      <c r="BE119">
        <v>5.8906332177484497</v>
      </c>
      <c r="BF119">
        <v>9.4622686618982196E-2</v>
      </c>
      <c r="BG119">
        <v>7.4733378092880803E-2</v>
      </c>
      <c r="BH119">
        <v>2.5763398083536801E-4</v>
      </c>
    </row>
    <row r="120" spans="13:60" x14ac:dyDescent="0.25">
      <c r="M120" s="27" t="s">
        <v>356</v>
      </c>
      <c r="N120" s="12">
        <v>6.44721599399616</v>
      </c>
      <c r="O120" s="12">
        <v>0.31280363549118101</v>
      </c>
      <c r="P120" s="12">
        <v>7.3512642226760697E-2</v>
      </c>
      <c r="Q120" s="12">
        <v>4.0136043772293498E-3</v>
      </c>
      <c r="S120" s="25" t="s">
        <v>390</v>
      </c>
      <c r="T120" s="16">
        <v>3.5955702574428305</v>
      </c>
      <c r="U120" s="16">
        <v>0.14557069286209651</v>
      </c>
      <c r="V120" s="16">
        <v>0.10682999999999999</v>
      </c>
      <c r="W120" s="16">
        <v>2.8600000000000001E-3</v>
      </c>
      <c r="X120" s="16">
        <v>0.83399999999999996</v>
      </c>
      <c r="Z120" s="24" t="s">
        <v>512</v>
      </c>
      <c r="AA120" s="18">
        <v>4.9629197592082797</v>
      </c>
      <c r="AB120" s="18">
        <v>0.20299185868196801</v>
      </c>
      <c r="AC120" s="18">
        <v>8.6241375963826306E-2</v>
      </c>
      <c r="AD120" s="18">
        <v>5.5437401545144595E-4</v>
      </c>
      <c r="AR120" s="31" t="s">
        <v>842</v>
      </c>
      <c r="AS120">
        <v>6.0646786509107899</v>
      </c>
      <c r="AT120">
        <v>0.11431307763116499</v>
      </c>
      <c r="AU120">
        <v>7.1661387694873804E-2</v>
      </c>
      <c r="AV120">
        <v>1.03694395206142E-3</v>
      </c>
      <c r="AX120" s="31" t="s">
        <v>980</v>
      </c>
      <c r="AY120">
        <v>8.1229386852830903</v>
      </c>
      <c r="AZ120">
        <v>8.8374642795503902E-2</v>
      </c>
      <c r="BA120">
        <v>6.68188949597356E-2</v>
      </c>
      <c r="BB120">
        <v>6.4074955504209695E-4</v>
      </c>
      <c r="BD120" s="31" t="s">
        <v>1129</v>
      </c>
      <c r="BE120">
        <v>5.5568748211846604</v>
      </c>
      <c r="BF120">
        <v>0.105504545026709</v>
      </c>
      <c r="BG120">
        <v>7.4768646874934702E-2</v>
      </c>
      <c r="BH120">
        <v>6.7115239322541604E-4</v>
      </c>
    </row>
    <row r="121" spans="13:60" x14ac:dyDescent="0.25">
      <c r="M121" s="27" t="s">
        <v>357</v>
      </c>
      <c r="N121" s="12">
        <v>5.4142214363772103</v>
      </c>
      <c r="O121" s="12">
        <v>0.230000731293004</v>
      </c>
      <c r="P121" s="12">
        <v>0.100344326157102</v>
      </c>
      <c r="Q121" s="12">
        <v>4.6878980971993504E-3</v>
      </c>
      <c r="S121" s="25" t="s">
        <v>391</v>
      </c>
      <c r="T121" s="16">
        <v>11.980352222355338</v>
      </c>
      <c r="U121" s="16">
        <v>0.2698342180187856</v>
      </c>
      <c r="V121" s="16">
        <v>5.919E-2</v>
      </c>
      <c r="W121" s="16">
        <v>1.48E-3</v>
      </c>
      <c r="X121" s="16">
        <v>0.66700000000000004</v>
      </c>
      <c r="Z121" s="24" t="s">
        <v>513</v>
      </c>
      <c r="AA121" s="18">
        <v>6.0972974665864497</v>
      </c>
      <c r="AB121" s="18">
        <v>0.19546944087307599</v>
      </c>
      <c r="AC121" s="18">
        <v>7.6677644365002101E-2</v>
      </c>
      <c r="AD121" s="18">
        <v>3.1264671159196301E-4</v>
      </c>
      <c r="AR121" s="31" t="s">
        <v>843</v>
      </c>
      <c r="AS121">
        <v>6.0854359940378497</v>
      </c>
      <c r="AT121">
        <v>9.61948889315591E-2</v>
      </c>
      <c r="AU121">
        <v>7.1159917141364701E-2</v>
      </c>
      <c r="AV121">
        <v>5.12944695028738E-4</v>
      </c>
      <c r="AX121" s="31" t="s">
        <v>981</v>
      </c>
      <c r="AY121">
        <v>9.6074777223393095</v>
      </c>
      <c r="AZ121">
        <v>8.94522715073299E-2</v>
      </c>
      <c r="BA121">
        <v>6.08137370028278E-2</v>
      </c>
      <c r="BB121">
        <v>8.1767767952756296E-4</v>
      </c>
      <c r="BD121" s="31" t="s">
        <v>1130</v>
      </c>
      <c r="BE121">
        <v>5.7671551609847604</v>
      </c>
      <c r="BF121">
        <v>9.8228118873886203E-2</v>
      </c>
      <c r="BG121">
        <v>7.4257223231715005E-2</v>
      </c>
      <c r="BH121">
        <v>3.2838534540190201E-4</v>
      </c>
    </row>
    <row r="122" spans="13:60" x14ac:dyDescent="0.25">
      <c r="S122" s="25" t="s">
        <v>392</v>
      </c>
      <c r="T122" s="16">
        <v>11.554015020219525</v>
      </c>
      <c r="U122" s="16">
        <v>0.26966043143666601</v>
      </c>
      <c r="V122" s="16">
        <v>5.969E-2</v>
      </c>
      <c r="W122" s="16">
        <v>1.4400000000000001E-3</v>
      </c>
      <c r="X122" s="16">
        <v>0.69399999999999995</v>
      </c>
      <c r="AR122" s="31" t="s">
        <v>844</v>
      </c>
      <c r="AS122">
        <v>6.2431170509548197</v>
      </c>
      <c r="AT122">
        <v>0.22685562323167399</v>
      </c>
      <c r="AU122">
        <v>7.1413477043072396E-2</v>
      </c>
      <c r="AV122">
        <v>1.39446068150932E-3</v>
      </c>
      <c r="AX122" s="31" t="s">
        <v>982</v>
      </c>
      <c r="AY122">
        <v>10.0824570316323</v>
      </c>
      <c r="AZ122">
        <v>0.15288763016111201</v>
      </c>
      <c r="BA122">
        <v>6.0272474958722302E-2</v>
      </c>
      <c r="BB122">
        <v>2.6803916873032E-4</v>
      </c>
      <c r="BD122" s="31" t="s">
        <v>1131</v>
      </c>
      <c r="BE122">
        <v>5.70032892206806</v>
      </c>
      <c r="BF122">
        <v>8.7608571970232099E-2</v>
      </c>
      <c r="BG122">
        <v>7.40228871645882E-2</v>
      </c>
      <c r="BH122">
        <v>4.18284962436758E-4</v>
      </c>
    </row>
    <row r="123" spans="13:60" x14ac:dyDescent="0.25">
      <c r="S123" s="25" t="s">
        <v>393</v>
      </c>
      <c r="T123" s="16">
        <v>9.6515780330083967</v>
      </c>
      <c r="U123" s="16">
        <v>0.24592381051194065</v>
      </c>
      <c r="V123" s="16">
        <v>5.91E-2</v>
      </c>
      <c r="W123" s="16">
        <v>1.5399999999999999E-3</v>
      </c>
      <c r="X123" s="16">
        <v>0.70099999999999996</v>
      </c>
      <c r="AR123" s="31" t="s">
        <v>845</v>
      </c>
      <c r="AS123">
        <v>6.1270932735874597</v>
      </c>
      <c r="AT123">
        <v>6.4742890604548506E-2</v>
      </c>
      <c r="AU123">
        <v>7.0820643736588196E-2</v>
      </c>
      <c r="AV123">
        <v>4.74495364266572E-4</v>
      </c>
      <c r="AX123" s="31" t="s">
        <v>983</v>
      </c>
      <c r="AY123">
        <v>10.284120296480101</v>
      </c>
      <c r="AZ123">
        <v>0.16348751488401</v>
      </c>
      <c r="BA123">
        <v>6.1069434545717699E-2</v>
      </c>
      <c r="BB123">
        <v>1.01517909344867E-3</v>
      </c>
      <c r="BD123" s="31" t="s">
        <v>1132</v>
      </c>
      <c r="BE123">
        <v>5.5855347726603197</v>
      </c>
      <c r="BF123">
        <v>0.106009277633604</v>
      </c>
      <c r="BG123">
        <v>7.3908793451353899E-2</v>
      </c>
      <c r="BH123">
        <v>6.8883277774880601E-4</v>
      </c>
    </row>
    <row r="124" spans="13:60" x14ac:dyDescent="0.25">
      <c r="S124" s="25" t="s">
        <v>394</v>
      </c>
      <c r="T124" s="16">
        <v>10.025062656641603</v>
      </c>
      <c r="U124" s="16">
        <v>0.32964617056425521</v>
      </c>
      <c r="V124" s="16">
        <v>5.6129999999999999E-2</v>
      </c>
      <c r="W124" s="16">
        <v>3.7399999999999998E-3</v>
      </c>
      <c r="X124" s="16">
        <v>0.44400000000000001</v>
      </c>
      <c r="AR124" s="31" t="s">
        <v>846</v>
      </c>
      <c r="AS124">
        <v>6.0576520134306104</v>
      </c>
      <c r="AT124">
        <v>0.108760746728551</v>
      </c>
      <c r="AU124">
        <v>7.0871425397647195E-2</v>
      </c>
      <c r="AV124">
        <v>7.6294097476148305E-4</v>
      </c>
      <c r="AX124" s="31" t="s">
        <v>984</v>
      </c>
      <c r="AY124">
        <v>10.2889806116091</v>
      </c>
      <c r="AZ124">
        <v>8.9986421855415596E-2</v>
      </c>
      <c r="BA124">
        <v>6.0418837339977501E-2</v>
      </c>
      <c r="BB124">
        <v>4.5630821085096797E-4</v>
      </c>
      <c r="BD124" s="31" t="s">
        <v>1133</v>
      </c>
      <c r="BE124">
        <v>5.5579203542501903</v>
      </c>
      <c r="BF124">
        <v>0.102403343104029</v>
      </c>
      <c r="BG124">
        <v>7.36433522194367E-2</v>
      </c>
      <c r="BH124">
        <v>5.9486531488701802E-4</v>
      </c>
    </row>
    <row r="125" spans="13:60" x14ac:dyDescent="0.25">
      <c r="AR125" s="31" t="s">
        <v>847</v>
      </c>
      <c r="AS125">
        <v>6.9606696940991997</v>
      </c>
      <c r="AT125">
        <v>0.13230622681627</v>
      </c>
      <c r="AU125">
        <v>7.0837063649326307E-2</v>
      </c>
      <c r="AV125">
        <v>8.2580174631994695E-4</v>
      </c>
      <c r="AX125" s="31" t="s">
        <v>985</v>
      </c>
      <c r="AY125">
        <v>10.515365631930401</v>
      </c>
      <c r="AZ125">
        <v>0.109685701300113</v>
      </c>
      <c r="BA125">
        <v>5.8446913798954898E-2</v>
      </c>
      <c r="BB125">
        <v>7.2517600023760303E-4</v>
      </c>
      <c r="BD125" s="31" t="s">
        <v>1134</v>
      </c>
      <c r="BE125">
        <v>5.9349549801308399</v>
      </c>
      <c r="BF125">
        <v>7.5150800645660501E-2</v>
      </c>
      <c r="BG125">
        <v>7.3476426148280205E-2</v>
      </c>
      <c r="BH125">
        <v>4.6626787547056797E-4</v>
      </c>
    </row>
    <row r="126" spans="13:60" x14ac:dyDescent="0.25">
      <c r="AR126" s="31" t="s">
        <v>848</v>
      </c>
      <c r="AS126">
        <v>6.3270509179303502</v>
      </c>
      <c r="AT126">
        <v>9.56927200332085E-2</v>
      </c>
      <c r="AU126">
        <v>7.0531266947487806E-2</v>
      </c>
      <c r="AV126">
        <v>4.1660274240661E-4</v>
      </c>
      <c r="AX126" s="31" t="s">
        <v>986</v>
      </c>
      <c r="AY126">
        <v>10.5684021186057</v>
      </c>
      <c r="AZ126">
        <v>9.7966692787324006E-2</v>
      </c>
      <c r="BA126">
        <v>5.9568688789743099E-2</v>
      </c>
      <c r="BB126">
        <v>5.1799029442931499E-4</v>
      </c>
      <c r="BD126" s="31" t="s">
        <v>1135</v>
      </c>
      <c r="BE126">
        <v>5.9950855242295704</v>
      </c>
      <c r="BF126">
        <v>0.106489186582803</v>
      </c>
      <c r="BG126">
        <v>7.3383648042404201E-2</v>
      </c>
      <c r="BH126">
        <v>2.6949550022176898E-4</v>
      </c>
    </row>
    <row r="127" spans="13:60" x14ac:dyDescent="0.25">
      <c r="AR127" s="31" t="s">
        <v>849</v>
      </c>
      <c r="AS127">
        <v>6.3654686761197601</v>
      </c>
      <c r="AT127">
        <v>0.128134543871507</v>
      </c>
      <c r="AU127">
        <v>7.0437761360888196E-2</v>
      </c>
      <c r="AV127">
        <v>7.3985247262978995E-4</v>
      </c>
      <c r="AX127" s="31" t="s">
        <v>987</v>
      </c>
      <c r="AY127">
        <v>10.740191622497999</v>
      </c>
      <c r="AZ127">
        <v>0.19827380424338301</v>
      </c>
      <c r="BA127">
        <v>5.9623293216257402E-2</v>
      </c>
      <c r="BB127">
        <v>9.3896289996608104E-4</v>
      </c>
      <c r="BD127" s="31" t="s">
        <v>1136</v>
      </c>
      <c r="BE127">
        <v>5.98704825030946</v>
      </c>
      <c r="BF127">
        <v>7.9896252130393794E-2</v>
      </c>
      <c r="BG127">
        <v>7.3373455173062804E-2</v>
      </c>
      <c r="BH127">
        <v>4.37190821645906E-4</v>
      </c>
    </row>
    <row r="128" spans="13:60" x14ac:dyDescent="0.25">
      <c r="AR128" s="31" t="s">
        <v>850</v>
      </c>
      <c r="AS128">
        <v>6.4132265657037104</v>
      </c>
      <c r="AT128">
        <v>9.34678815911969E-2</v>
      </c>
      <c r="AU128">
        <v>7.0132311742083106E-2</v>
      </c>
      <c r="AV128">
        <v>3.4504315137756598E-4</v>
      </c>
      <c r="AX128" s="31" t="s">
        <v>988</v>
      </c>
      <c r="AY128">
        <v>10.644274045107201</v>
      </c>
      <c r="AZ128">
        <v>0.15194774890229901</v>
      </c>
      <c r="BA128">
        <v>5.9692766502985398E-2</v>
      </c>
      <c r="BB128">
        <v>3.0976936003376397E-4</v>
      </c>
      <c r="BD128" s="31" t="s">
        <v>1137</v>
      </c>
      <c r="BE128">
        <v>5.7881393831691899</v>
      </c>
      <c r="BF128">
        <v>9.5799446058716098E-2</v>
      </c>
      <c r="BG128">
        <v>7.3110252956270702E-2</v>
      </c>
      <c r="BH128">
        <v>5.0611295792665095E-4</v>
      </c>
    </row>
    <row r="129" spans="44:60" x14ac:dyDescent="0.25">
      <c r="AR129" s="31" t="s">
        <v>851</v>
      </c>
      <c r="AS129">
        <v>6.4367464999550403</v>
      </c>
      <c r="AT129">
        <v>9.0631594365504706E-2</v>
      </c>
      <c r="AU129">
        <v>7.0173028884303795E-2</v>
      </c>
      <c r="AV129">
        <v>5.0657897139782398E-4</v>
      </c>
      <c r="AX129" s="31" t="s">
        <v>989</v>
      </c>
      <c r="AY129">
        <v>10.786526647065701</v>
      </c>
      <c r="AZ129">
        <v>0.10305485589697</v>
      </c>
      <c r="BA129">
        <v>5.9044817295415303E-2</v>
      </c>
      <c r="BB129">
        <v>4.6525588571941603E-4</v>
      </c>
      <c r="BD129" s="31" t="s">
        <v>1138</v>
      </c>
      <c r="BE129">
        <v>5.8617119912811297</v>
      </c>
      <c r="BF129">
        <v>0.102847016656479</v>
      </c>
      <c r="BG129">
        <v>7.3018906005586706E-2</v>
      </c>
      <c r="BH129">
        <v>5.5117117882402605E-4</v>
      </c>
    </row>
    <row r="130" spans="44:60" x14ac:dyDescent="0.25">
      <c r="AR130" s="31" t="s">
        <v>852</v>
      </c>
      <c r="AS130">
        <v>6.3985606626397802</v>
      </c>
      <c r="AT130">
        <v>5.2583647348803601E-2</v>
      </c>
      <c r="AU130">
        <v>7.0039059253566599E-2</v>
      </c>
      <c r="AV130">
        <v>4.3644776029656699E-4</v>
      </c>
      <c r="AX130" s="31" t="s">
        <v>990</v>
      </c>
      <c r="AY130">
        <v>10.766546011788799</v>
      </c>
      <c r="AZ130">
        <v>0.17700557748745099</v>
      </c>
      <c r="BA130">
        <v>5.8447401729087897E-2</v>
      </c>
      <c r="BB130">
        <v>3.8119248017826399E-4</v>
      </c>
      <c r="BD130" s="31" t="s">
        <v>1139</v>
      </c>
      <c r="BE130">
        <v>5.6806273535151401</v>
      </c>
      <c r="BF130">
        <v>9.0098539688111906E-2</v>
      </c>
      <c r="BG130">
        <v>7.2705411478600004E-2</v>
      </c>
      <c r="BH130">
        <v>6.4909908581708899E-4</v>
      </c>
    </row>
    <row r="131" spans="44:60" x14ac:dyDescent="0.25">
      <c r="AR131" s="31" t="s">
        <v>853</v>
      </c>
      <c r="AS131">
        <v>6.4120592572342403</v>
      </c>
      <c r="AT131">
        <v>6.6039135426066903E-2</v>
      </c>
      <c r="AU131">
        <v>7.0010191980555803E-2</v>
      </c>
      <c r="AV131">
        <v>4.0657265584057001E-4</v>
      </c>
      <c r="AX131" s="31" t="s">
        <v>991</v>
      </c>
      <c r="AY131">
        <v>10.819446066325501</v>
      </c>
      <c r="AZ131">
        <v>0.11103956105370399</v>
      </c>
      <c r="BA131">
        <v>5.8984355853028997E-2</v>
      </c>
      <c r="BB131">
        <v>5.7561805937526595E-4</v>
      </c>
      <c r="BD131" s="31" t="s">
        <v>1140</v>
      </c>
      <c r="BE131">
        <v>6.0123780326413199</v>
      </c>
      <c r="BF131">
        <v>0.117131005203318</v>
      </c>
      <c r="BG131">
        <v>7.2193550259901207E-2</v>
      </c>
      <c r="BH131">
        <v>7.1108147803295297E-4</v>
      </c>
    </row>
    <row r="132" spans="44:60" x14ac:dyDescent="0.25">
      <c r="AR132" s="31" t="s">
        <v>854</v>
      </c>
      <c r="AS132">
        <v>6.2119661499464396</v>
      </c>
      <c r="AT132">
        <v>0.117192550184248</v>
      </c>
      <c r="AU132">
        <v>7.00545514686398E-2</v>
      </c>
      <c r="AV132">
        <v>7.2354241417099305E-4</v>
      </c>
      <c r="AX132" s="31" t="s">
        <v>992</v>
      </c>
      <c r="AY132">
        <v>10.855213663564101</v>
      </c>
      <c r="AZ132">
        <v>7.7665067036387897E-2</v>
      </c>
      <c r="BA132">
        <v>5.9151154073456197E-2</v>
      </c>
      <c r="BB132">
        <v>4.7047972149041802E-4</v>
      </c>
      <c r="BD132" s="31" t="s">
        <v>1141</v>
      </c>
      <c r="BE132">
        <v>6.0484701221595003</v>
      </c>
      <c r="BF132">
        <v>0.112614224752056</v>
      </c>
      <c r="BG132">
        <v>7.1968232911391206E-2</v>
      </c>
      <c r="BH132">
        <v>5.6394612551557998E-4</v>
      </c>
    </row>
    <row r="133" spans="44:60" x14ac:dyDescent="0.25">
      <c r="AR133" s="31" t="s">
        <v>855</v>
      </c>
      <c r="AS133">
        <v>6.2259213200271004</v>
      </c>
      <c r="AT133">
        <v>0.16568185054576801</v>
      </c>
      <c r="AU133">
        <v>7.0322249900445805E-2</v>
      </c>
      <c r="AV133">
        <v>1.1573940631847001E-3</v>
      </c>
      <c r="AX133" s="31" t="s">
        <v>993</v>
      </c>
      <c r="AY133">
        <v>10.8911244286667</v>
      </c>
      <c r="AZ133">
        <v>0.102116094298803</v>
      </c>
      <c r="BA133">
        <v>5.91310335128142E-2</v>
      </c>
      <c r="BB133">
        <v>3.0292542094400101E-4</v>
      </c>
      <c r="BD133" s="31" t="s">
        <v>1142</v>
      </c>
      <c r="BE133">
        <v>6.1292811549849997</v>
      </c>
      <c r="BF133">
        <v>9.5523070889494799E-2</v>
      </c>
      <c r="BG133">
        <v>7.1405652307275996E-2</v>
      </c>
      <c r="BH133">
        <v>4.6231052899740102E-4</v>
      </c>
    </row>
    <row r="134" spans="44:60" x14ac:dyDescent="0.25">
      <c r="AR134" s="31" t="s">
        <v>856</v>
      </c>
      <c r="AS134">
        <v>6.3624769790826798</v>
      </c>
      <c r="AT134">
        <v>0.118662958091501</v>
      </c>
      <c r="AU134">
        <v>6.9806616297307694E-2</v>
      </c>
      <c r="AV134">
        <v>8.5159706543905202E-4</v>
      </c>
      <c r="AX134" s="31" t="s">
        <v>994</v>
      </c>
      <c r="AY134">
        <v>10.8993589525923</v>
      </c>
      <c r="AZ134">
        <v>9.6391872967799996E-2</v>
      </c>
      <c r="BA134">
        <v>5.87690230832228E-2</v>
      </c>
      <c r="BB134">
        <v>3.7957538615816002E-4</v>
      </c>
      <c r="BD134" s="31" t="s">
        <v>1143</v>
      </c>
      <c r="BE134">
        <v>6.5922674916379496</v>
      </c>
      <c r="BF134">
        <v>0.149122160475014</v>
      </c>
      <c r="BG134">
        <v>7.1275902235101593E-2</v>
      </c>
      <c r="BH134">
        <v>1.00405194120729E-3</v>
      </c>
    </row>
    <row r="135" spans="44:60" x14ac:dyDescent="0.25">
      <c r="AR135" s="31" t="s">
        <v>857</v>
      </c>
      <c r="AS135">
        <v>6.2193580364767396</v>
      </c>
      <c r="AT135">
        <v>0.10015098868809399</v>
      </c>
      <c r="AU135">
        <v>6.9664957517904302E-2</v>
      </c>
      <c r="AV135">
        <v>5.4213924364228698E-4</v>
      </c>
      <c r="AX135" s="31" t="s">
        <v>995</v>
      </c>
      <c r="AY135">
        <v>11.108899534381599</v>
      </c>
      <c r="AZ135">
        <v>0.186284123804728</v>
      </c>
      <c r="BA135">
        <v>5.93603342872253E-2</v>
      </c>
      <c r="BB135">
        <v>2.8588081869662202E-4</v>
      </c>
      <c r="BD135" s="31" t="s">
        <v>1144</v>
      </c>
      <c r="BE135">
        <v>6.3585046828737299</v>
      </c>
      <c r="BF135">
        <v>0.117972180780385</v>
      </c>
      <c r="BG135">
        <v>7.0901440210759906E-2</v>
      </c>
      <c r="BH135">
        <v>7.8246875272487801E-4</v>
      </c>
    </row>
    <row r="136" spans="44:60" x14ac:dyDescent="0.25">
      <c r="AR136" s="31" t="s">
        <v>858</v>
      </c>
      <c r="AS136">
        <v>6.3002621091774396</v>
      </c>
      <c r="AT136">
        <v>7.7134863810236695E-2</v>
      </c>
      <c r="AU136">
        <v>6.9770724503208301E-2</v>
      </c>
      <c r="AV136">
        <v>6.3467417857364405E-4</v>
      </c>
      <c r="AX136" s="31" t="s">
        <v>996</v>
      </c>
      <c r="AY136">
        <v>11.116494035228101</v>
      </c>
      <c r="AZ136">
        <v>0.18842643506606099</v>
      </c>
      <c r="BA136">
        <v>5.8579091339692302E-2</v>
      </c>
      <c r="BB136">
        <v>3.5426340260197E-4</v>
      </c>
      <c r="BD136" s="31" t="s">
        <v>1145</v>
      </c>
      <c r="BE136">
        <v>6.1661267736606398</v>
      </c>
      <c r="BF136">
        <v>0.112236019676749</v>
      </c>
      <c r="BG136">
        <v>7.0710578180901096E-2</v>
      </c>
      <c r="BH136">
        <v>6.3198449737141005E-4</v>
      </c>
    </row>
    <row r="137" spans="44:60" x14ac:dyDescent="0.25">
      <c r="AR137" s="31" t="s">
        <v>859</v>
      </c>
      <c r="AS137">
        <v>5.9477146770530096</v>
      </c>
      <c r="AT137">
        <v>7.6154954150165793E-2</v>
      </c>
      <c r="AU137">
        <v>6.9588537844643805E-2</v>
      </c>
      <c r="AV137">
        <v>6.3469998793793899E-4</v>
      </c>
      <c r="AX137" s="31" t="s">
        <v>997</v>
      </c>
      <c r="AY137">
        <v>11.1008860574488</v>
      </c>
      <c r="AZ137">
        <v>0.122790928999507</v>
      </c>
      <c r="BA137">
        <v>5.9221363444212298E-2</v>
      </c>
      <c r="BB137">
        <v>8.8902478601266899E-4</v>
      </c>
      <c r="BD137" s="31" t="s">
        <v>1146</v>
      </c>
      <c r="BE137">
        <v>6.22493163747066</v>
      </c>
      <c r="BF137">
        <v>0.14013377969812099</v>
      </c>
      <c r="BG137">
        <v>7.0376178030187406E-2</v>
      </c>
      <c r="BH137">
        <v>8.2401633100331396E-4</v>
      </c>
    </row>
    <row r="138" spans="44:60" x14ac:dyDescent="0.25">
      <c r="AR138" s="31" t="s">
        <v>860</v>
      </c>
      <c r="AS138">
        <v>6.3497436454343603</v>
      </c>
      <c r="AT138">
        <v>4.8308300585279802E-2</v>
      </c>
      <c r="AU138">
        <v>6.9495579980718397E-2</v>
      </c>
      <c r="AV138">
        <v>4.4066564920571102E-4</v>
      </c>
      <c r="AX138" s="31" t="s">
        <v>998</v>
      </c>
      <c r="AY138">
        <v>11.109129608138799</v>
      </c>
      <c r="AZ138">
        <v>0.136627567538293</v>
      </c>
      <c r="BA138">
        <v>5.8576523569128E-2</v>
      </c>
      <c r="BB138">
        <v>6.0982344937772005E-4</v>
      </c>
      <c r="BD138" s="31" t="s">
        <v>1147</v>
      </c>
      <c r="BE138">
        <v>6.1339449209054298</v>
      </c>
      <c r="BF138">
        <v>0.11692732503111</v>
      </c>
      <c r="BG138">
        <v>7.0128162257378598E-2</v>
      </c>
      <c r="BH138">
        <v>6.4783315778610905E-4</v>
      </c>
    </row>
    <row r="139" spans="44:60" x14ac:dyDescent="0.25">
      <c r="AR139" s="31" t="s">
        <v>720</v>
      </c>
      <c r="AS139">
        <v>8.7728786530347094</v>
      </c>
      <c r="AT139">
        <v>0.12276694536979101</v>
      </c>
      <c r="AU139">
        <v>6.1510757007950098E-2</v>
      </c>
      <c r="AV139">
        <v>4.0078008081987298E-4</v>
      </c>
      <c r="AX139" s="31" t="s">
        <v>999</v>
      </c>
      <c r="AY139">
        <v>11.1531189407892</v>
      </c>
      <c r="AZ139">
        <v>0.10698343984796201</v>
      </c>
      <c r="BA139">
        <v>5.9464525998163799E-2</v>
      </c>
      <c r="BB139">
        <v>8.4791212820220995E-4</v>
      </c>
      <c r="BD139" s="31" t="s">
        <v>1148</v>
      </c>
      <c r="BE139">
        <v>6.5062111562566196</v>
      </c>
      <c r="BF139">
        <v>7.89678688672137E-2</v>
      </c>
      <c r="BG139">
        <v>6.9863303688275605E-2</v>
      </c>
      <c r="BH139">
        <v>4.3213270439729099E-4</v>
      </c>
    </row>
    <row r="140" spans="44:60" x14ac:dyDescent="0.25">
      <c r="AR140" s="31" t="s">
        <v>721</v>
      </c>
      <c r="AS140">
        <v>9.3598092730883096</v>
      </c>
      <c r="AT140">
        <v>0.14337798021409501</v>
      </c>
      <c r="AU140">
        <v>6.1296662529753999E-2</v>
      </c>
      <c r="AV140">
        <v>2.7285817320125299E-4</v>
      </c>
      <c r="AX140" s="31" t="s">
        <v>1000</v>
      </c>
      <c r="AY140">
        <v>11.156985325644399</v>
      </c>
      <c r="AZ140">
        <v>0.106416502137097</v>
      </c>
      <c r="BA140">
        <v>5.82323621575409E-2</v>
      </c>
      <c r="BB140">
        <v>5.7845926579879403E-4</v>
      </c>
      <c r="BD140" s="31" t="s">
        <v>1149</v>
      </c>
      <c r="BE140">
        <v>10.7935048198626</v>
      </c>
      <c r="BF140">
        <v>0.25162461073030101</v>
      </c>
      <c r="BG140">
        <v>5.8896213594148497E-2</v>
      </c>
      <c r="BH140">
        <v>7.9829530395828896E-4</v>
      </c>
    </row>
    <row r="141" spans="44:60" x14ac:dyDescent="0.25">
      <c r="AR141" s="31" t="s">
        <v>722</v>
      </c>
      <c r="AS141">
        <v>10.5810990781415</v>
      </c>
      <c r="AT141">
        <v>0.157148288694202</v>
      </c>
      <c r="AU141">
        <v>5.9149020845498501E-2</v>
      </c>
      <c r="AV141">
        <v>1.20195281574306E-3</v>
      </c>
      <c r="AX141" s="31" t="s">
        <v>1001</v>
      </c>
      <c r="AY141">
        <v>11.172473142233599</v>
      </c>
      <c r="AZ141">
        <v>0.100326490527019</v>
      </c>
      <c r="BA141">
        <v>5.8914459890218401E-2</v>
      </c>
      <c r="BB141">
        <v>5.9583801450163504E-4</v>
      </c>
      <c r="BD141" s="31" t="s">
        <v>1150</v>
      </c>
      <c r="BE141">
        <v>11.127222313648501</v>
      </c>
      <c r="BF141">
        <v>0.17276029431131901</v>
      </c>
      <c r="BG141">
        <v>5.8517184773342203E-2</v>
      </c>
      <c r="BH141">
        <v>3.1026521590365102E-4</v>
      </c>
    </row>
    <row r="142" spans="44:60" x14ac:dyDescent="0.25">
      <c r="AR142" s="31" t="s">
        <v>723</v>
      </c>
      <c r="AS142">
        <v>10.530928097104599</v>
      </c>
      <c r="AT142">
        <v>0.17288803739299999</v>
      </c>
      <c r="AU142">
        <v>5.8775552129007397E-2</v>
      </c>
      <c r="AV142">
        <v>6.1893579789936196E-4</v>
      </c>
      <c r="AX142" s="31" t="s">
        <v>1002</v>
      </c>
      <c r="AY142">
        <v>11.1997294844506</v>
      </c>
      <c r="AZ142">
        <v>8.0792925532090498E-2</v>
      </c>
      <c r="BA142">
        <v>5.8890650598683397E-2</v>
      </c>
      <c r="BB142">
        <v>5.2497715167422303E-4</v>
      </c>
      <c r="BD142" s="31" t="s">
        <v>1151</v>
      </c>
      <c r="BE142">
        <v>11.4116025442667</v>
      </c>
      <c r="BF142">
        <v>0.21695046364078099</v>
      </c>
      <c r="BG142">
        <v>5.85745889661997E-2</v>
      </c>
      <c r="BH142">
        <v>3.69975449516431E-4</v>
      </c>
    </row>
    <row r="143" spans="44:60" x14ac:dyDescent="0.25">
      <c r="AR143" s="31" t="s">
        <v>724</v>
      </c>
      <c r="AS143">
        <v>11.538737735721799</v>
      </c>
      <c r="AT143">
        <v>0.106233038859222</v>
      </c>
      <c r="AU143">
        <v>5.8095146729532102E-2</v>
      </c>
      <c r="AV143">
        <v>3.1754340848173199E-4</v>
      </c>
      <c r="AX143" s="31" t="s">
        <v>1003</v>
      </c>
      <c r="AY143">
        <v>11.321797966260499</v>
      </c>
      <c r="AZ143">
        <v>0.141106238014371</v>
      </c>
      <c r="BA143">
        <v>5.9276144832137202E-2</v>
      </c>
      <c r="BB143">
        <v>3.6404165973520598E-4</v>
      </c>
      <c r="BD143" s="31" t="s">
        <v>1152</v>
      </c>
      <c r="BE143">
        <v>12.294095115039999</v>
      </c>
      <c r="BF143">
        <v>0.18418916354276799</v>
      </c>
      <c r="BG143">
        <v>5.7073115887517498E-2</v>
      </c>
      <c r="BH143">
        <v>4.3885704470918001E-4</v>
      </c>
    </row>
    <row r="144" spans="44:60" x14ac:dyDescent="0.25">
      <c r="AR144" s="32" t="s">
        <v>861</v>
      </c>
      <c r="AS144" s="16">
        <v>10.1239974931001</v>
      </c>
      <c r="AT144" s="16">
        <v>0.34685445072462601</v>
      </c>
      <c r="AU144" s="16">
        <v>5.9119205544664002E-2</v>
      </c>
      <c r="AV144" s="16">
        <v>1.68796805758018E-3</v>
      </c>
      <c r="AX144" s="31" t="s">
        <v>1004</v>
      </c>
      <c r="AY144">
        <v>11.4122505345689</v>
      </c>
      <c r="AZ144">
        <v>0.133384346223509</v>
      </c>
      <c r="BA144">
        <v>5.8665934751256997E-2</v>
      </c>
      <c r="BB144">
        <v>4.43733258092994E-4</v>
      </c>
      <c r="BD144" s="31" t="s">
        <v>1153</v>
      </c>
      <c r="BE144">
        <v>12.4161967380939</v>
      </c>
      <c r="BF144">
        <v>0.242907258708636</v>
      </c>
      <c r="BG144">
        <v>5.7641036779359001E-2</v>
      </c>
      <c r="BH144">
        <v>1.1101376566413201E-3</v>
      </c>
    </row>
    <row r="145" spans="44:60" x14ac:dyDescent="0.25">
      <c r="AR145" s="32" t="s">
        <v>862</v>
      </c>
      <c r="AS145" s="16">
        <v>5.4606078350846596</v>
      </c>
      <c r="AT145" s="16">
        <v>0.45076382780677898</v>
      </c>
      <c r="AU145" s="16">
        <v>7.3087266722440397E-2</v>
      </c>
      <c r="AV145" s="16">
        <v>2.2446813986458001E-3</v>
      </c>
      <c r="AX145" s="31" t="s">
        <v>1005</v>
      </c>
      <c r="AY145">
        <v>11.4767880896996</v>
      </c>
      <c r="AZ145">
        <v>0.119400240996307</v>
      </c>
      <c r="BA145">
        <v>5.9589353468882798E-2</v>
      </c>
      <c r="BB145">
        <v>7.4754675359132603E-4</v>
      </c>
      <c r="BD145" s="32" t="s">
        <v>1154</v>
      </c>
      <c r="BE145" s="16">
        <v>11.1352595110073</v>
      </c>
      <c r="BF145" s="16">
        <v>0.18455077617401799</v>
      </c>
      <c r="BG145" s="16">
        <v>6.1991506956259698E-2</v>
      </c>
      <c r="BH145" s="16">
        <v>4.4408391158876997E-4</v>
      </c>
    </row>
    <row r="146" spans="44:60" x14ac:dyDescent="0.25">
      <c r="AX146" s="31" t="s">
        <v>1006</v>
      </c>
      <c r="AY146">
        <v>11.8049466666884</v>
      </c>
      <c r="AZ146">
        <v>0.104280089851817</v>
      </c>
      <c r="BA146">
        <v>5.9074564135269E-2</v>
      </c>
      <c r="BB146">
        <v>7.1367484947831199E-4</v>
      </c>
      <c r="BD146" s="32" t="s">
        <v>1155</v>
      </c>
      <c r="BE146" s="16">
        <v>3.3456132427823602</v>
      </c>
      <c r="BF146" s="16">
        <v>6.9956341122525897E-2</v>
      </c>
      <c r="BG146" s="16">
        <v>9.3167005710772202E-2</v>
      </c>
      <c r="BH146" s="16">
        <v>6.9285298536954799E-4</v>
      </c>
    </row>
    <row r="147" spans="44:60" x14ac:dyDescent="0.25">
      <c r="AX147" s="31" t="s">
        <v>1007</v>
      </c>
      <c r="AY147">
        <v>12.2020014420001</v>
      </c>
      <c r="AZ147">
        <v>0.10861845785539199</v>
      </c>
      <c r="BA147">
        <v>5.7092476948806301E-2</v>
      </c>
      <c r="BB147">
        <v>7.2939996959218696E-4</v>
      </c>
      <c r="BD147" s="32" t="s">
        <v>1156</v>
      </c>
      <c r="BE147" s="16">
        <v>3.97957175692797</v>
      </c>
      <c r="BF147" s="16">
        <v>0.34869887112206199</v>
      </c>
      <c r="BG147" s="16">
        <v>9.3031069399083996E-2</v>
      </c>
      <c r="BH147" s="16">
        <v>2.672187921661E-3</v>
      </c>
    </row>
    <row r="148" spans="44:60" x14ac:dyDescent="0.25">
      <c r="AX148" s="32" t="s">
        <v>1008</v>
      </c>
      <c r="AY148" s="16">
        <v>11.942748663135401</v>
      </c>
      <c r="AZ148" s="16">
        <v>0.24180753743893699</v>
      </c>
      <c r="BA148" s="16">
        <v>6.4622171401921197E-2</v>
      </c>
      <c r="BB148" s="16">
        <v>8.9902291434684105E-4</v>
      </c>
    </row>
    <row r="149" spans="44:60" x14ac:dyDescent="0.25">
      <c r="AX149" s="32" t="s">
        <v>1009</v>
      </c>
      <c r="AY149" s="16">
        <v>10.9842847331378</v>
      </c>
      <c r="AZ149" s="16">
        <v>0.17069670844367499</v>
      </c>
      <c r="BA149" s="16">
        <v>6.0627968408980402E-2</v>
      </c>
      <c r="BB149" s="16">
        <v>4.8465160216519402E-4</v>
      </c>
    </row>
    <row r="150" spans="44:60" x14ac:dyDescent="0.25">
      <c r="AX150" s="32" t="s">
        <v>1010</v>
      </c>
      <c r="AY150" s="16">
        <v>2.1702337776002598</v>
      </c>
      <c r="AZ150" s="16">
        <v>6.7389621073469005E-2</v>
      </c>
      <c r="BA150" s="16">
        <v>0.188269327917052</v>
      </c>
      <c r="BB150" s="16">
        <v>1.1906757802816099E-3</v>
      </c>
    </row>
    <row r="151" spans="44:60" x14ac:dyDescent="0.25">
      <c r="AX151" s="32" t="s">
        <v>1011</v>
      </c>
      <c r="AY151" s="16">
        <v>10.299404344989</v>
      </c>
      <c r="AZ151" s="16">
        <v>0.245951305861138</v>
      </c>
      <c r="BA151" s="16">
        <v>5.9052377697965799E-2</v>
      </c>
      <c r="BB151" s="16">
        <v>1.41665475145107E-3</v>
      </c>
    </row>
  </sheetData>
  <mergeCells count="10">
    <mergeCell ref="AM1:AP1"/>
    <mergeCell ref="AS1:AV1"/>
    <mergeCell ref="AY1:BB1"/>
    <mergeCell ref="BE1:BH1"/>
    <mergeCell ref="B1:E1"/>
    <mergeCell ref="H1:K1"/>
    <mergeCell ref="N1:Q1"/>
    <mergeCell ref="T1:W1"/>
    <mergeCell ref="AA1:AD1"/>
    <mergeCell ref="AG1:A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Vetle Øyvind Larsen Lunde</dc:creator>
  <cp:lastModifiedBy>Vetle Øyvind Larsen Lunde</cp:lastModifiedBy>
  <dcterms:created xsi:type="dcterms:W3CDTF">2026-04-08T19:07:53Z</dcterms:created>
  <dcterms:modified xsi:type="dcterms:W3CDTF">2026-05-01T17:46:10Z</dcterms:modified>
</cp:coreProperties>
</file>