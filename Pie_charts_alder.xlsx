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vl365-my.sharepoint.com/personal/671637_stud_hvl_no/Documents/7. Bachelor/Zirkondatering/"/>
    </mc:Choice>
  </mc:AlternateContent>
  <xr:revisionPtr revIDLastSave="411" documentId="8_{A2287CED-5267-4ECF-8AB4-6F6F102E0737}" xr6:coauthVersionLast="47" xr6:coauthVersionMax="47" xr10:uidLastSave="{04327755-D694-4609-A7BD-C89721CC6E6F}"/>
  <bookViews>
    <workbookView xWindow="28680" yWindow="-120" windowWidth="29040" windowHeight="15720" xr2:uid="{A44457D1-C68B-466C-B390-397DF0F7109A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77" i="1" l="1"/>
  <c r="D78" i="1"/>
  <c r="D79" i="1"/>
  <c r="D80" i="1"/>
  <c r="D69" i="1"/>
  <c r="D70" i="1"/>
  <c r="D71" i="1"/>
  <c r="D72" i="1"/>
  <c r="D61" i="1"/>
  <c r="D62" i="1"/>
  <c r="D63" i="1"/>
  <c r="D64" i="1"/>
  <c r="D53" i="1"/>
  <c r="D54" i="1"/>
  <c r="D55" i="1"/>
  <c r="D56" i="1"/>
  <c r="D45" i="1"/>
  <c r="D46" i="1"/>
  <c r="D47" i="1"/>
  <c r="D48" i="1"/>
  <c r="D37" i="1"/>
  <c r="D38" i="1"/>
  <c r="D39" i="1"/>
  <c r="D40" i="1"/>
  <c r="D27" i="1"/>
  <c r="D28" i="1"/>
  <c r="D29" i="1"/>
  <c r="D30" i="1"/>
  <c r="D85" i="1"/>
  <c r="D86" i="1"/>
  <c r="D87" i="1"/>
  <c r="D88" i="1"/>
  <c r="D19" i="1"/>
  <c r="D20" i="1"/>
  <c r="D21" i="1"/>
  <c r="D22" i="1"/>
  <c r="D10" i="1"/>
  <c r="D11" i="1"/>
  <c r="D12" i="1"/>
  <c r="D13" i="1"/>
</calcChain>
</file>

<file path=xl/sharedStrings.xml><?xml version="1.0" encoding="utf-8"?>
<sst xmlns="http://schemas.openxmlformats.org/spreadsheetml/2006/main" count="86" uniqueCount="23">
  <si>
    <t>Prosent</t>
  </si>
  <si>
    <t>163706</t>
  </si>
  <si>
    <t>Pie charts med prøvenr i rekkefølge</t>
  </si>
  <si>
    <t>EM28</t>
  </si>
  <si>
    <t>SK25-2</t>
  </si>
  <si>
    <t>Gulagruppen</t>
  </si>
  <si>
    <t>Funnsjøgruppen</t>
  </si>
  <si>
    <t>DG12</t>
  </si>
  <si>
    <t>AK_121</t>
  </si>
  <si>
    <t>119037</t>
  </si>
  <si>
    <t>GM34</t>
  </si>
  <si>
    <t>DG_27</t>
  </si>
  <si>
    <t>DGA14_MN_121</t>
  </si>
  <si>
    <t>AK_001</t>
  </si>
  <si>
    <t>Antall</t>
  </si>
  <si>
    <t>Archean (&gt;2400)</t>
  </si>
  <si>
    <t>Paleo- to Mesoproterozoic (900-2100)</t>
  </si>
  <si>
    <t>Neoproterozoic to Cambrian (480-750)</t>
  </si>
  <si>
    <t>Diskordante analyser</t>
  </si>
  <si>
    <t>Totalt (konkordant)</t>
  </si>
  <si>
    <t>Archean</t>
  </si>
  <si>
    <t>Paleo- to Meso</t>
  </si>
  <si>
    <t>Neo to Cambrian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</si>
</sst>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2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7EBC8E"/>
        <bgColor indexed="64"/>
      </patternFill>
    </fill>
    <fill>
      <patternFill patternType="solid">
        <fgColor rgb="FFCC8181"/>
        <bgColor indexed="64"/>
      </patternFill>
    </fill>
    <fill>
      <patternFill patternType="solid">
        <fgColor rgb="FF6895C1"/>
        <bgColor indexed="64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/>
    <xf numFmtId="0" fontId="0" fillId="2" borderId="0" xfId="0" applyFill="1"/>
    <xf numFmtId="0" fontId="1" fillId="3" borderId="0" xfId="0" applyFont="1" applyFill="1"/>
    <xf numFmtId="0" fontId="0" fillId="3" borderId="0" xfId="0" applyFill="1"/>
    <xf numFmtId="0" fontId="1" fillId="4" borderId="0" xfId="0" applyFont="1" applyFill="1"/>
    <xf numFmtId="164" fontId="0" fillId="0" borderId="0" xfId="0" applyNumberFormat="1"/>
    <xf numFmtId="0" fontId="0" fillId="5" borderId="0" xfId="0" applyFill="1"/>
    <xf numFmtId="0" fontId="0" fillId="6" borderId="0" xfId="0" applyFill="1"/>
    <xf numFmtId="0" fontId="0" fillId="7" borderId="0" xfId="0" applyFill="1"/>
    <xf numFmtId="0" fontId="1" fillId="8" borderId="0" xfId="0" applyFont="1" applyFill="1"/>
    <xf numFmtId="0" fontId="2" fillId="0" borderId="0" xfId="0" applyFont="1"/>
  </cellXfs>
  <cellStyles count="1">
    <cellStyle name="Normal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6895C1"/>
      <color rgb="FF7EBC8E"/>
      <color rgb="FFCC818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spPr>
            <a:ln w="12700"/>
          </c:spPr>
          <c:dPt>
            <c:idx val="0"/>
            <c:bubble3D val="0"/>
            <c:spPr>
              <a:solidFill>
                <a:srgbClr val="CC8181"/>
              </a:solidFill>
              <a:ln w="1270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8451-4679-A915-D66A79385532}"/>
              </c:ext>
            </c:extLst>
          </c:dPt>
          <c:dPt>
            <c:idx val="1"/>
            <c:bubble3D val="0"/>
            <c:spPr>
              <a:solidFill>
                <a:srgbClr val="6895C1"/>
              </a:solidFill>
              <a:ln w="1270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451-4679-A915-D66A79385532}"/>
              </c:ext>
            </c:extLst>
          </c:dPt>
          <c:dPt>
            <c:idx val="2"/>
            <c:bubble3D val="0"/>
            <c:spPr>
              <a:solidFill>
                <a:srgbClr val="7EBC8E"/>
              </a:solidFill>
              <a:ln w="1270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451-4679-A915-D66A7938553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nb-N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'Ark1'!$D$10:$D$12</c:f>
              <c:numCache>
                <c:formatCode>0.0</c:formatCode>
                <c:ptCount val="3"/>
                <c:pt idx="0">
                  <c:v>7.3684210526315779</c:v>
                </c:pt>
                <c:pt idx="1">
                  <c:v>89.473684210526315</c:v>
                </c:pt>
                <c:pt idx="2">
                  <c:v>3.1578947368421053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51-4679-A915-D66A7938553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spPr>
            <a:ln w="12700"/>
          </c:spPr>
          <c:dPt>
            <c:idx val="0"/>
            <c:bubble3D val="0"/>
            <c:spPr>
              <a:solidFill>
                <a:srgbClr val="CC8181"/>
              </a:solidFill>
              <a:ln w="1270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61D6-4CD7-A495-46E32B1855C5}"/>
              </c:ext>
            </c:extLst>
          </c:dPt>
          <c:dPt>
            <c:idx val="1"/>
            <c:bubble3D val="0"/>
            <c:spPr>
              <a:solidFill>
                <a:srgbClr val="6895C1"/>
              </a:solidFill>
              <a:ln w="1270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1D6-4CD7-A495-46E32B1855C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270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1D6-4CD7-A495-46E32B1855C5}"/>
              </c:ext>
            </c:extLst>
          </c:dPt>
          <c:dLbls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1D6-4CD7-A495-46E32B1855C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nb-N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'Ark1'!$D$19:$D$21</c:f>
              <c:numCache>
                <c:formatCode>0.0</c:formatCode>
                <c:ptCount val="3"/>
                <c:pt idx="0">
                  <c:v>1.4492753623188406</c:v>
                </c:pt>
                <c:pt idx="1">
                  <c:v>98.550724637681171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D6-4CD7-A495-46E32B1855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spPr>
            <a:ln w="12700"/>
          </c:spPr>
          <c:dPt>
            <c:idx val="0"/>
            <c:bubble3D val="0"/>
            <c:spPr>
              <a:solidFill>
                <a:srgbClr val="CC8181"/>
              </a:solidFill>
              <a:ln w="1270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BC42-413F-A336-B4EB78DA9A61}"/>
              </c:ext>
            </c:extLst>
          </c:dPt>
          <c:dPt>
            <c:idx val="1"/>
            <c:bubble3D val="0"/>
            <c:spPr>
              <a:solidFill>
                <a:srgbClr val="6895C1"/>
              </a:solidFill>
              <a:ln w="1270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C42-413F-A336-B4EB78DA9A6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270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C42-413F-A336-B4EB78DA9A61}"/>
              </c:ext>
            </c:extLst>
          </c:dPt>
          <c:dLbls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C42-413F-A336-B4EB78DA9A6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nb-N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'Ark1'!$D$27:$D$29</c:f>
              <c:numCache>
                <c:formatCode>0.0</c:formatCode>
                <c:ptCount val="3"/>
                <c:pt idx="0">
                  <c:v>5.4054054054054053</c:v>
                </c:pt>
                <c:pt idx="1">
                  <c:v>94.594594594594597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42-413F-A336-B4EB78DA9A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spPr>
            <a:ln w="12700"/>
          </c:spPr>
          <c:dPt>
            <c:idx val="0"/>
            <c:bubble3D val="0"/>
            <c:spPr>
              <a:solidFill>
                <a:schemeClr val="accent1"/>
              </a:solidFill>
              <a:ln w="1270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A23-4B2D-8533-78B22B79B152}"/>
              </c:ext>
            </c:extLst>
          </c:dPt>
          <c:dPt>
            <c:idx val="1"/>
            <c:bubble3D val="0"/>
            <c:spPr>
              <a:solidFill>
                <a:srgbClr val="6895C1"/>
              </a:solidFill>
              <a:ln w="1270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A23-4B2D-8533-78B22B79B152}"/>
              </c:ext>
            </c:extLst>
          </c:dPt>
          <c:dPt>
            <c:idx val="2"/>
            <c:bubble3D val="0"/>
            <c:spPr>
              <a:solidFill>
                <a:srgbClr val="7EBC8E"/>
              </a:solidFill>
              <a:ln w="1270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2A23-4B2D-8533-78B22B79B152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A23-4B2D-8533-78B22B79B15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nb-N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'Ark1'!$D$37:$D$39</c:f>
              <c:numCache>
                <c:formatCode>0.0</c:formatCode>
                <c:ptCount val="3"/>
                <c:pt idx="0">
                  <c:v>0</c:v>
                </c:pt>
                <c:pt idx="1">
                  <c:v>77.64705882352942</c:v>
                </c:pt>
                <c:pt idx="2">
                  <c:v>22.352941176470591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23-4B2D-8533-78B22B79B1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spPr>
            <a:ln w="12700"/>
          </c:spPr>
          <c:dPt>
            <c:idx val="0"/>
            <c:bubble3D val="0"/>
            <c:spPr>
              <a:solidFill>
                <a:srgbClr val="CC8181"/>
              </a:solidFill>
              <a:ln w="1270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F290-4FB3-9920-B13A81931AFE}"/>
              </c:ext>
            </c:extLst>
          </c:dPt>
          <c:dPt>
            <c:idx val="1"/>
            <c:bubble3D val="0"/>
            <c:spPr>
              <a:solidFill>
                <a:srgbClr val="6895C1"/>
              </a:solidFill>
              <a:ln w="1270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290-4FB3-9920-B13A81931AFE}"/>
              </c:ext>
            </c:extLst>
          </c:dPt>
          <c:dPt>
            <c:idx val="2"/>
            <c:bubble3D val="0"/>
            <c:spPr>
              <a:solidFill>
                <a:srgbClr val="7EBC8E"/>
              </a:solidFill>
              <a:ln w="1270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290-4FB3-9920-B13A81931AF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nb-N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'Ark1'!$D$45:$D$47</c:f>
              <c:numCache>
                <c:formatCode>0.0</c:formatCode>
                <c:ptCount val="3"/>
                <c:pt idx="0">
                  <c:v>1.4184397163120568</c:v>
                </c:pt>
                <c:pt idx="1">
                  <c:v>95.035460992907801</c:v>
                </c:pt>
                <c:pt idx="2">
                  <c:v>3.5460992907801421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90-4FB3-9920-B13A81931A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spPr>
            <a:ln w="12700"/>
          </c:spPr>
          <c:dPt>
            <c:idx val="0"/>
            <c:bubble3D val="0"/>
            <c:spPr>
              <a:solidFill>
                <a:srgbClr val="CC8181"/>
              </a:solidFill>
              <a:ln w="1270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6FAF-4A14-8176-4546A6B25887}"/>
              </c:ext>
            </c:extLst>
          </c:dPt>
          <c:dPt>
            <c:idx val="1"/>
            <c:bubble3D val="0"/>
            <c:spPr>
              <a:solidFill>
                <a:srgbClr val="6895C1"/>
              </a:solidFill>
              <a:ln w="1270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FAF-4A14-8176-4546A6B2588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270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FAF-4A14-8176-4546A6B25887}"/>
              </c:ext>
            </c:extLst>
          </c:dPt>
          <c:dLbls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FAF-4A14-8176-4546A6B2588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nb-N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'Ark1'!$D$53:$D$55</c:f>
              <c:numCache>
                <c:formatCode>0.0</c:formatCode>
                <c:ptCount val="3"/>
                <c:pt idx="0">
                  <c:v>9.375</c:v>
                </c:pt>
                <c:pt idx="1">
                  <c:v>90.625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AF-4A14-8176-4546A6B258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spPr>
            <a:ln w="12700"/>
          </c:spPr>
          <c:dPt>
            <c:idx val="0"/>
            <c:bubble3D val="0"/>
            <c:spPr>
              <a:solidFill>
                <a:srgbClr val="CC8181"/>
              </a:solidFill>
              <a:ln w="1270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C3C6-4767-83FF-91AC2CF6B4C1}"/>
              </c:ext>
            </c:extLst>
          </c:dPt>
          <c:dPt>
            <c:idx val="1"/>
            <c:bubble3D val="0"/>
            <c:spPr>
              <a:solidFill>
                <a:srgbClr val="6895C1"/>
              </a:solidFill>
              <a:ln w="1270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3C6-4767-83FF-91AC2CF6B4C1}"/>
              </c:ext>
            </c:extLst>
          </c:dPt>
          <c:dPt>
            <c:idx val="2"/>
            <c:bubble3D val="0"/>
            <c:spPr>
              <a:solidFill>
                <a:srgbClr val="7EBC8E"/>
              </a:solidFill>
              <a:ln w="1270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3C6-4767-83FF-91AC2CF6B4C1}"/>
              </c:ext>
            </c:extLst>
          </c:dPt>
          <c:dLbls>
            <c:dLbl>
              <c:idx val="0"/>
              <c:layout>
                <c:manualLayout>
                  <c:x val="1.642710826412893E-2"/>
                  <c:y val="0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3C6-4767-83FF-91AC2CF6B4C1}"/>
                </c:ext>
              </c:extLst>
            </c:dLbl>
            <c:dLbl>
              <c:idx val="2"/>
              <c:layout>
                <c:manualLayout>
                  <c:x val="-1.6427108264128881E-2"/>
                  <c:y val="0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3C6-4767-83FF-91AC2CF6B4C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nb-N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'Ark1'!$D$61:$D$63</c:f>
              <c:numCache>
                <c:formatCode>0.0</c:formatCode>
                <c:ptCount val="3"/>
                <c:pt idx="0">
                  <c:v>1.7857142857142856</c:v>
                </c:pt>
                <c:pt idx="1">
                  <c:v>97.321428571428569</c:v>
                </c:pt>
                <c:pt idx="2">
                  <c:v>0.89285714285714279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C6-4767-83FF-91AC2CF6B4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spPr>
            <a:ln w="12700"/>
          </c:spPr>
          <c:dPt>
            <c:idx val="0"/>
            <c:bubble3D val="0"/>
            <c:spPr>
              <a:solidFill>
                <a:srgbClr val="CC8181"/>
              </a:solidFill>
              <a:ln w="1270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188E-49C4-BB17-4C2114BDEF29}"/>
              </c:ext>
            </c:extLst>
          </c:dPt>
          <c:dPt>
            <c:idx val="1"/>
            <c:bubble3D val="0"/>
            <c:spPr>
              <a:solidFill>
                <a:srgbClr val="6895C1"/>
              </a:solidFill>
              <a:ln w="1270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88E-49C4-BB17-4C2114BDEF29}"/>
              </c:ext>
            </c:extLst>
          </c:dPt>
          <c:dPt>
            <c:idx val="2"/>
            <c:bubble3D val="0"/>
            <c:spPr>
              <a:solidFill>
                <a:srgbClr val="7EBC8E"/>
              </a:solidFill>
              <a:ln w="1270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88E-49C4-BB17-4C2114BDEF2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nb-N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'Ark1'!$D$69:$D$71</c:f>
              <c:numCache>
                <c:formatCode>0.0</c:formatCode>
                <c:ptCount val="3"/>
                <c:pt idx="0">
                  <c:v>4.8275862068965516</c:v>
                </c:pt>
                <c:pt idx="1">
                  <c:v>75.862068965517238</c:v>
                </c:pt>
                <c:pt idx="2">
                  <c:v>19.310344827586206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8E-49C4-BB17-4C2114BDEF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spPr>
            <a:ln w="12700"/>
          </c:spPr>
          <c:dPt>
            <c:idx val="0"/>
            <c:bubble3D val="0"/>
            <c:spPr>
              <a:solidFill>
                <a:srgbClr val="CC8181"/>
              </a:solidFill>
              <a:ln w="1270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A53A-4784-9C34-A5AB722BEAF5}"/>
              </c:ext>
            </c:extLst>
          </c:dPt>
          <c:dPt>
            <c:idx val="1"/>
            <c:bubble3D val="0"/>
            <c:spPr>
              <a:solidFill>
                <a:srgbClr val="6895C1"/>
              </a:solidFill>
              <a:ln w="1270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53A-4784-9C34-A5AB722BEAF5}"/>
              </c:ext>
            </c:extLst>
          </c:dPt>
          <c:dPt>
            <c:idx val="2"/>
            <c:bubble3D val="0"/>
            <c:spPr>
              <a:solidFill>
                <a:srgbClr val="7EBC8E"/>
              </a:solidFill>
              <a:ln w="1270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53A-4784-9C34-A5AB722BEAF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nb-N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'Ark1'!$D$77:$D$79</c:f>
              <c:numCache>
                <c:formatCode>0.0</c:formatCode>
                <c:ptCount val="3"/>
                <c:pt idx="0">
                  <c:v>2.2222222222222223</c:v>
                </c:pt>
                <c:pt idx="1">
                  <c:v>92.222222222222229</c:v>
                </c:pt>
                <c:pt idx="2">
                  <c:v>5.5555555555555554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3A-4784-9C34-A5AB722BEA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spPr>
            <a:ln w="12700"/>
          </c:spPr>
          <c:dPt>
            <c:idx val="0"/>
            <c:bubble3D val="0"/>
            <c:spPr>
              <a:solidFill>
                <a:srgbClr val="CC8181"/>
              </a:solidFill>
              <a:ln w="1270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94E2-430F-BE79-85C90613222E}"/>
              </c:ext>
            </c:extLst>
          </c:dPt>
          <c:dPt>
            <c:idx val="1"/>
            <c:bubble3D val="0"/>
            <c:spPr>
              <a:solidFill>
                <a:srgbClr val="6895C1"/>
              </a:solidFill>
              <a:ln w="1270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4E2-430F-BE79-85C90613222E}"/>
              </c:ext>
            </c:extLst>
          </c:dPt>
          <c:dPt>
            <c:idx val="2"/>
            <c:bubble3D val="0"/>
            <c:spPr>
              <a:solidFill>
                <a:srgbClr val="7EBC8E"/>
              </a:solidFill>
              <a:ln w="1270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4E2-430F-BE79-85C90613222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nb-N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'Ark1'!$D$85:$D$87</c:f>
              <c:numCache>
                <c:formatCode>0.0</c:formatCode>
                <c:ptCount val="3"/>
                <c:pt idx="0">
                  <c:v>2.8169014084507045</c:v>
                </c:pt>
                <c:pt idx="1">
                  <c:v>93.661971830985919</c:v>
                </c:pt>
                <c:pt idx="2">
                  <c:v>3.5211267605633805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E2-430F-BE79-85C9061322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285751</xdr:colOff>
      <xdr:row>2</xdr:row>
      <xdr:rowOff>87022</xdr:rowOff>
    </xdr:from>
    <xdr:to>
      <xdr:col>8</xdr:col>
      <xdr:colOff>176893</xdr:colOff>
      <xdr:row>20</xdr:row>
      <xdr:rowOff>157099</xdr:rowOff>
    </xdr:to>
    <xdr:graphicFrame macro="">
      <xdr:nvGraphicFramePr>
        <xdr:cNvPr id="3" name="Diagram 2">
          <a:extLst>
            <a:ext uri="{FF2B5EF4-FFF2-40B4-BE49-F238E27FC236}">
              <a16:creationId xmlns:a16="http://schemas.microsoft.com/office/drawing/2014/main" id="{3A1E30DE-A746-D00D-910D-F71B258AFB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416749</xdr:colOff>
      <xdr:row>2</xdr:row>
      <xdr:rowOff>133598</xdr:rowOff>
    </xdr:from>
    <xdr:to>
      <xdr:col>12</xdr:col>
      <xdr:colOff>595002</xdr:colOff>
      <xdr:row>20</xdr:row>
      <xdr:rowOff>160811</xdr:rowOff>
    </xdr:to>
    <xdr:graphicFrame macro="">
      <xdr:nvGraphicFramePr>
        <xdr:cNvPr id="4" name="Diagram 3">
          <a:extLst>
            <a:ext uri="{FF2B5EF4-FFF2-40B4-BE49-F238E27FC236}">
              <a16:creationId xmlns:a16="http://schemas.microsoft.com/office/drawing/2014/main" id="{88296409-52B7-E296-5594-4F7B2F3E89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654521</xdr:colOff>
      <xdr:row>3</xdr:row>
      <xdr:rowOff>69273</xdr:rowOff>
    </xdr:from>
    <xdr:to>
      <xdr:col>22</xdr:col>
      <xdr:colOff>692727</xdr:colOff>
      <xdr:row>23</xdr:row>
      <xdr:rowOff>2406</xdr:rowOff>
    </xdr:to>
    <xdr:graphicFrame macro="">
      <xdr:nvGraphicFramePr>
        <xdr:cNvPr id="5" name="Diagram 4">
          <a:extLst>
            <a:ext uri="{FF2B5EF4-FFF2-40B4-BE49-F238E27FC236}">
              <a16:creationId xmlns:a16="http://schemas.microsoft.com/office/drawing/2014/main" id="{261ED990-4040-56EC-AF36-6D3660A2B2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495410</xdr:colOff>
      <xdr:row>23</xdr:row>
      <xdr:rowOff>97523</xdr:rowOff>
    </xdr:from>
    <xdr:to>
      <xdr:col>8</xdr:col>
      <xdr:colOff>326572</xdr:colOff>
      <xdr:row>40</xdr:row>
      <xdr:rowOff>136071</xdr:rowOff>
    </xdr:to>
    <xdr:graphicFrame macro="">
      <xdr:nvGraphicFramePr>
        <xdr:cNvPr id="6" name="Diagram 5">
          <a:extLst>
            <a:ext uri="{FF2B5EF4-FFF2-40B4-BE49-F238E27FC236}">
              <a16:creationId xmlns:a16="http://schemas.microsoft.com/office/drawing/2014/main" id="{56CDB04C-8A38-B0C9-2DE9-9E34F7E276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451167</xdr:colOff>
      <xdr:row>23</xdr:row>
      <xdr:rowOff>105900</xdr:rowOff>
    </xdr:from>
    <xdr:to>
      <xdr:col>12</xdr:col>
      <xdr:colOff>693964</xdr:colOff>
      <xdr:row>40</xdr:row>
      <xdr:rowOff>190499</xdr:rowOff>
    </xdr:to>
    <xdr:graphicFrame macro="">
      <xdr:nvGraphicFramePr>
        <xdr:cNvPr id="7" name="Diagram 6">
          <a:extLst>
            <a:ext uri="{FF2B5EF4-FFF2-40B4-BE49-F238E27FC236}">
              <a16:creationId xmlns:a16="http://schemas.microsoft.com/office/drawing/2014/main" id="{4E108C61-0594-4426-6C8A-E2D462D986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29935</xdr:colOff>
      <xdr:row>23</xdr:row>
      <xdr:rowOff>77770</xdr:rowOff>
    </xdr:from>
    <xdr:to>
      <xdr:col>17</xdr:col>
      <xdr:colOff>435428</xdr:colOff>
      <xdr:row>40</xdr:row>
      <xdr:rowOff>136072</xdr:rowOff>
    </xdr:to>
    <xdr:graphicFrame macro="">
      <xdr:nvGraphicFramePr>
        <xdr:cNvPr id="8" name="Diagram 7">
          <a:extLst>
            <a:ext uri="{FF2B5EF4-FFF2-40B4-BE49-F238E27FC236}">
              <a16:creationId xmlns:a16="http://schemas.microsoft.com/office/drawing/2014/main" id="{F5DBADFD-C6C5-78F2-0522-6BABF51B52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</xdr:col>
      <xdr:colOff>497340</xdr:colOff>
      <xdr:row>41</xdr:row>
      <xdr:rowOff>48303</xdr:rowOff>
    </xdr:from>
    <xdr:to>
      <xdr:col>8</xdr:col>
      <xdr:colOff>367393</xdr:colOff>
      <xdr:row>59</xdr:row>
      <xdr:rowOff>81642</xdr:rowOff>
    </xdr:to>
    <xdr:graphicFrame macro="">
      <xdr:nvGraphicFramePr>
        <xdr:cNvPr id="9" name="Diagram 8">
          <a:extLst>
            <a:ext uri="{FF2B5EF4-FFF2-40B4-BE49-F238E27FC236}">
              <a16:creationId xmlns:a16="http://schemas.microsoft.com/office/drawing/2014/main" id="{B61C3E86-3949-3DC1-6502-BE85F6850E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8</xdr:col>
      <xdr:colOff>434748</xdr:colOff>
      <xdr:row>41</xdr:row>
      <xdr:rowOff>91847</xdr:rowOff>
    </xdr:from>
    <xdr:to>
      <xdr:col>12</xdr:col>
      <xdr:colOff>748394</xdr:colOff>
      <xdr:row>59</xdr:row>
      <xdr:rowOff>108857</xdr:rowOff>
    </xdr:to>
    <xdr:graphicFrame macro="">
      <xdr:nvGraphicFramePr>
        <xdr:cNvPr id="10" name="Diagram 9">
          <a:extLst>
            <a:ext uri="{FF2B5EF4-FFF2-40B4-BE49-F238E27FC236}">
              <a16:creationId xmlns:a16="http://schemas.microsoft.com/office/drawing/2014/main" id="{5DC66F9E-52D1-EA67-CA25-BFE0058598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13</xdr:col>
      <xdr:colOff>56469</xdr:colOff>
      <xdr:row>41</xdr:row>
      <xdr:rowOff>114980</xdr:rowOff>
    </xdr:from>
    <xdr:to>
      <xdr:col>17</xdr:col>
      <xdr:colOff>435428</xdr:colOff>
      <xdr:row>59</xdr:row>
      <xdr:rowOff>149678</xdr:rowOff>
    </xdr:to>
    <xdr:graphicFrame macro="">
      <xdr:nvGraphicFramePr>
        <xdr:cNvPr id="11" name="Diagram 10">
          <a:extLst>
            <a:ext uri="{FF2B5EF4-FFF2-40B4-BE49-F238E27FC236}">
              <a16:creationId xmlns:a16="http://schemas.microsoft.com/office/drawing/2014/main" id="{ABB31AD5-0B9F-D391-3AA5-AC213FC0C5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4</xdr:col>
      <xdr:colOff>570818</xdr:colOff>
      <xdr:row>60</xdr:row>
      <xdr:rowOff>680</xdr:rowOff>
    </xdr:from>
    <xdr:to>
      <xdr:col>10</xdr:col>
      <xdr:colOff>353785</xdr:colOff>
      <xdr:row>82</xdr:row>
      <xdr:rowOff>95250</xdr:rowOff>
    </xdr:to>
    <xdr:graphicFrame macro="">
      <xdr:nvGraphicFramePr>
        <xdr:cNvPr id="12" name="Diagram 11">
          <a:extLst>
            <a:ext uri="{FF2B5EF4-FFF2-40B4-BE49-F238E27FC236}">
              <a16:creationId xmlns:a16="http://schemas.microsoft.com/office/drawing/2014/main" id="{298434EA-3D52-2085-45DB-D47913A7D4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8CB758F2-EF0E-419A-A230-7EA5FEB336C4}" name="Tabell79" displayName="Tabell79" ref="B9:D14" totalsRowShown="0">
  <autoFilter ref="B9:D14" xr:uid="{8CB758F2-EF0E-419A-A230-7EA5FEB336C4}"/>
  <tableColumns count="3">
    <tableColumn id="1" xr3:uid="{E1A84663-84BD-4483-A692-646C33955F7C}" name="163706"/>
    <tableColumn id="2" xr3:uid="{B166B3CF-3AF8-40AE-9933-767FA2A56E48}" name="Antall"/>
    <tableColumn id="3" xr3:uid="{2B9430A0-1C54-4033-AF23-89DF19A5F053}" name="Prosent" dataDxfId="9">
      <calculatedColumnFormula>(Tabell79[[#This Row],[Antall]]/$C$13)*100</calculatedColumnFormula>
    </tableColumn>
  </tableColumns>
  <tableStyleInfo name="TableStyleMedium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EEB73C89-8E6E-4079-8E51-00FAD5B9AA4F}" name="Tabell710" displayName="Tabell710" ref="B18:D23" totalsRowShown="0">
  <autoFilter ref="B18:D23" xr:uid="{EEB73C89-8E6E-4079-8E51-00FAD5B9AA4F}"/>
  <tableColumns count="3">
    <tableColumn id="1" xr3:uid="{E656F1D3-D6DA-4DA0-BBA6-36C33A0637C3}" name="EM28"/>
    <tableColumn id="2" xr3:uid="{C75C17A1-7D45-49E9-B0BB-5B6D19145CA8}" name="Antall"/>
    <tableColumn id="3" xr3:uid="{7CF90716-0947-4A0F-B408-E93A6234C609}" name="Prosent" dataDxfId="8">
      <calculatedColumnFormula>(Tabell710[[#This Row],[Antall]]/$C$22)*100</calculatedColumnFormula>
    </tableColumn>
  </tableColumns>
  <tableStyleInfo name="TableStyleMedium1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EB02BB80-0683-408B-9F9F-818ECD5356D2}" name="Tabell711" displayName="Tabell711" ref="B26:D31" totalsRowShown="0">
  <autoFilter ref="B26:D31" xr:uid="{EB02BB80-0683-408B-9F9F-818ECD5356D2}"/>
  <tableColumns count="3">
    <tableColumn id="1" xr3:uid="{0CEC38C8-EA97-4F98-AFA7-53AF16EF81D6}" name="SK25-2"/>
    <tableColumn id="2" xr3:uid="{A5DEEEBF-79E4-43D0-A035-1E5AAD7FA831}" name="Antall"/>
    <tableColumn id="3" xr3:uid="{EBDE617F-DDC5-45EE-9025-76AA89D95BA1}" name="Prosent" dataDxfId="7">
      <calculatedColumnFormula>(Tabell711[[#This Row],[Antall]]/$C$30)*100</calculatedColumnFormula>
    </tableColumn>
  </tableColumns>
  <tableStyleInfo name="TableStyleMedium1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5249751A-BECD-449A-9AA0-82833BD9270C}" name="Tabell71113" displayName="Tabell71113" ref="B36:D41" totalsRowShown="0">
  <autoFilter ref="B36:D41" xr:uid="{5249751A-BECD-449A-9AA0-82833BD9270C}"/>
  <tableColumns count="3">
    <tableColumn id="1" xr3:uid="{0790C9DE-5A6E-4C06-B99C-31BE77B5DF81}" name="DG12"/>
    <tableColumn id="2" xr3:uid="{D0010CEB-D0A3-4F34-B118-EAFA1672A2DB}" name="Antall"/>
    <tableColumn id="3" xr3:uid="{31BEFB49-9E56-497D-8631-116ADC8F7A0B}" name="Prosent" dataDxfId="6">
      <calculatedColumnFormula>(Tabell71113[[#This Row],[Antall]]/$C$40)*100</calculatedColumnFormula>
    </tableColumn>
  </tableColumns>
  <tableStyleInfo name="TableStyleMedium16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BCC6DB22-9C55-4FD9-A5EA-26674A8C9803}" name="Tabell7111314" displayName="Tabell7111314" ref="B44:D49" totalsRowShown="0">
  <autoFilter ref="B44:D49" xr:uid="{BCC6DB22-9C55-4FD9-A5EA-26674A8C9803}"/>
  <tableColumns count="3">
    <tableColumn id="1" xr3:uid="{EF6DAB0C-D2FA-488C-B35F-3C8E96632509}" name="AK_121"/>
    <tableColumn id="2" xr3:uid="{D0AD5E9A-409C-4D18-A8DF-E4DA4DF02CE8}" name="Antall"/>
    <tableColumn id="3" xr3:uid="{3A0F61E0-D187-4DBE-BF87-2CE5CF22BB4E}" name="Prosent" dataDxfId="5">
      <calculatedColumnFormula>(Tabell7111314[[#This Row],[Antall]]/$C$48)*100</calculatedColumnFormula>
    </tableColumn>
  </tableColumns>
  <tableStyleInfo name="TableStyleMedium16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A904EB8F-1CC1-42FA-9F04-F0D0F8F2A28E}" name="Tabell7111315" displayName="Tabell7111315" ref="B52:D57" totalsRowShown="0">
  <autoFilter ref="B52:D57" xr:uid="{A904EB8F-1CC1-42FA-9F04-F0D0F8F2A28E}"/>
  <tableColumns count="3">
    <tableColumn id="1" xr3:uid="{B5927B21-C003-40B0-94C9-9303E5E95B97}" name="119037"/>
    <tableColumn id="2" xr3:uid="{2F10C653-6BF8-46BA-A852-2C4495AE663B}" name="Antall"/>
    <tableColumn id="3" xr3:uid="{A0793699-81AE-4692-9874-504BA10E76B3}" name="Prosent" dataDxfId="4">
      <calculatedColumnFormula>(Tabell7111315[[#This Row],[Antall]]/$C$56)*100</calculatedColumnFormula>
    </tableColumn>
  </tableColumns>
  <tableStyleInfo name="TableStyleMedium16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BE32E9CA-7487-4AA4-8456-DD171982D1E3}" name="Tabell711131516" displayName="Tabell711131516" ref="B60:D65" totalsRowShown="0">
  <autoFilter ref="B60:D65" xr:uid="{BE32E9CA-7487-4AA4-8456-DD171982D1E3}"/>
  <tableColumns count="3">
    <tableColumn id="1" xr3:uid="{688F6CE5-7147-4EE4-BB6D-4191FAD53BAF}" name="GM34"/>
    <tableColumn id="2" xr3:uid="{C1BB6005-FE6D-4928-92DC-316437DA82E2}" name="Antall"/>
    <tableColumn id="3" xr3:uid="{5E208D23-35FC-4954-B3D8-555A3538B75E}" name="Prosent" dataDxfId="3">
      <calculatedColumnFormula>(Tabell711131516[[#This Row],[Antall]]/$C$64)*100</calculatedColumnFormula>
    </tableColumn>
  </tableColumns>
  <tableStyleInfo name="TableStyleMedium16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7B6E7978-1B39-4664-98E3-44389DAB7C33}" name="Tabell711131517" displayName="Tabell711131517" ref="B68:D73" totalsRowShown="0">
  <autoFilter ref="B68:D73" xr:uid="{7B6E7978-1B39-4664-98E3-44389DAB7C33}"/>
  <tableColumns count="3">
    <tableColumn id="1" xr3:uid="{04DA2E35-5A43-403D-A660-06138A506FD9}" name="DG_27"/>
    <tableColumn id="2" xr3:uid="{A4ED4881-5924-41C9-B3A2-CA4336D6DECC}" name="Antall"/>
    <tableColumn id="3" xr3:uid="{E942C9F8-2F88-4158-BAA5-A023BED856B5}" name="Prosent" dataDxfId="2">
      <calculatedColumnFormula>(Tabell711131517[[#This Row],[Antall]]/$C$72)*100</calculatedColumnFormula>
    </tableColumn>
  </tableColumns>
  <tableStyleInfo name="TableStyleMedium16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C068ACF6-51D5-4E77-B0D4-07EDBA7F3F7D}" name="Tabell711131518" displayName="Tabell711131518" ref="B76:D81" totalsRowShown="0">
  <autoFilter ref="B76:D81" xr:uid="{C068ACF6-51D5-4E77-B0D4-07EDBA7F3F7D}"/>
  <tableColumns count="3">
    <tableColumn id="1" xr3:uid="{033ECD60-28B0-4A64-AECF-83058E988901}" name="DGA14_MN_121"/>
    <tableColumn id="2" xr3:uid="{D20E8DCC-92EE-46B1-866D-1FAE6438A6C9}" name="Antall"/>
    <tableColumn id="3" xr3:uid="{F8A86395-49A2-459B-A6AF-0A4EBCB99CD0}" name="Prosent" dataDxfId="1">
      <calculatedColumnFormula>(Tabell711131518[[#This Row],[Antall]]/$C$80)*100</calculatedColumnFormula>
    </tableColumn>
  </tableColumns>
  <tableStyleInfo name="TableStyleMedium16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D6D1BB35-FC48-4DD9-9F87-227AC60702B5}" name="Tabell711131519" displayName="Tabell711131519" ref="B84:D89" totalsRowShown="0">
  <autoFilter ref="B84:D89" xr:uid="{D6D1BB35-FC48-4DD9-9F87-227AC60702B5}"/>
  <tableColumns count="3">
    <tableColumn id="1" xr3:uid="{DA3A4E33-6B24-466A-9ED6-345C287466C7}" name="AK_001"/>
    <tableColumn id="2" xr3:uid="{73DA785E-AEA0-4CEE-A585-90B5AFF74B07}" name="Antall"/>
    <tableColumn id="3" xr3:uid="{24517EFC-9C2D-4E8E-8BE2-E47604943993}" name="Prosent" dataDxfId="0">
      <calculatedColumnFormula>(Tabell711131519[[#This Row],[Antall]]/$C$88)*100</calculatedColumnFormula>
    </tableColumn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Relationship Id="rId6" Type="http://schemas.openxmlformats.org/officeDocument/2006/relationships/table" Target="../tables/table5.xml"/><Relationship Id="rId11" Type="http://schemas.openxmlformats.org/officeDocument/2006/relationships/table" Target="../tables/table10.xml"/><Relationship Id="rId5" Type="http://schemas.openxmlformats.org/officeDocument/2006/relationships/table" Target="../tables/table4.xml"/><Relationship Id="rId10" Type="http://schemas.openxmlformats.org/officeDocument/2006/relationships/table" Target="../tables/table9.xml"/><Relationship Id="rId4" Type="http://schemas.openxmlformats.org/officeDocument/2006/relationships/table" Target="../tables/table3.xml"/><Relationship Id="rId9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BA74E-2842-4B62-AAC7-BEFB5021B807}">
  <dimension ref="A2:D89"/>
  <sheetViews>
    <sheetView tabSelected="1" zoomScale="85" zoomScaleNormal="85" workbookViewId="0">
      <selection activeCell="B5" sqref="B5"/>
    </sheetView>
  </sheetViews>
  <sheetFormatPr baseColWidth="10" defaultRowHeight="15" x14ac:dyDescent="0.25"/>
  <cols>
    <col min="1" max="1" width="15.85546875" bestFit="1" customWidth="1"/>
    <col min="2" max="2" width="35" bestFit="1" customWidth="1"/>
  </cols>
  <sheetData>
    <row r="2" spans="1:4" ht="28.5" x14ac:dyDescent="0.45">
      <c r="B2" s="12" t="s">
        <v>2</v>
      </c>
    </row>
    <row r="4" spans="1:4" x14ac:dyDescent="0.25">
      <c r="A4" s="11" t="s">
        <v>20</v>
      </c>
      <c r="B4" s="9"/>
    </row>
    <row r="5" spans="1:4" x14ac:dyDescent="0.25">
      <c r="A5" s="11" t="s">
        <v>21</v>
      </c>
      <c r="B5" s="10"/>
    </row>
    <row r="6" spans="1:4" x14ac:dyDescent="0.25">
      <c r="A6" s="11" t="s">
        <v>22</v>
      </c>
      <c r="B6" s="8"/>
    </row>
    <row r="8" spans="1:4" x14ac:dyDescent="0.25">
      <c r="A8" s="2" t="s">
        <v>5</v>
      </c>
      <c r="B8" s="3"/>
      <c r="C8" s="3"/>
      <c r="D8" s="3"/>
    </row>
    <row r="9" spans="1:4" x14ac:dyDescent="0.25">
      <c r="B9" s="1" t="s">
        <v>1</v>
      </c>
      <c r="C9" t="s">
        <v>14</v>
      </c>
      <c r="D9" t="s">
        <v>0</v>
      </c>
    </row>
    <row r="10" spans="1:4" x14ac:dyDescent="0.25">
      <c r="B10" t="s">
        <v>15</v>
      </c>
      <c r="C10">
        <v>7</v>
      </c>
      <c r="D10" s="7">
        <f>(Tabell79[[#This Row],[Antall]]/$C$13)*100</f>
        <v>7.3684210526315779</v>
      </c>
    </row>
    <row r="11" spans="1:4" x14ac:dyDescent="0.25">
      <c r="B11" t="s">
        <v>16</v>
      </c>
      <c r="C11">
        <v>85</v>
      </c>
      <c r="D11" s="7">
        <f>(Tabell79[[#This Row],[Antall]]/$C$13)*100</f>
        <v>89.473684210526315</v>
      </c>
    </row>
    <row r="12" spans="1:4" x14ac:dyDescent="0.25">
      <c r="B12" t="s">
        <v>17</v>
      </c>
      <c r="C12">
        <v>3</v>
      </c>
      <c r="D12" s="7">
        <f>(Tabell79[[#This Row],[Antall]]/$C$13)*100</f>
        <v>3.1578947368421053</v>
      </c>
    </row>
    <row r="13" spans="1:4" x14ac:dyDescent="0.25">
      <c r="B13" t="s">
        <v>19</v>
      </c>
      <c r="C13">
        <v>95</v>
      </c>
      <c r="D13" s="7">
        <f>(Tabell79[[#This Row],[Antall]]/$C$13)*100</f>
        <v>100</v>
      </c>
    </row>
    <row r="14" spans="1:4" x14ac:dyDescent="0.25">
      <c r="B14" t="s">
        <v>18</v>
      </c>
    </row>
    <row r="18" spans="2:4" x14ac:dyDescent="0.25">
      <c r="B18" s="1" t="s">
        <v>3</v>
      </c>
      <c r="C18" t="s">
        <v>14</v>
      </c>
      <c r="D18" t="s">
        <v>0</v>
      </c>
    </row>
    <row r="19" spans="2:4" x14ac:dyDescent="0.25">
      <c r="B19" t="s">
        <v>15</v>
      </c>
      <c r="C19">
        <v>1</v>
      </c>
      <c r="D19" s="7">
        <f>(Tabell710[[#This Row],[Antall]]/$C$22)*100</f>
        <v>1.4492753623188406</v>
      </c>
    </row>
    <row r="20" spans="2:4" x14ac:dyDescent="0.25">
      <c r="B20" t="s">
        <v>16</v>
      </c>
      <c r="C20">
        <v>68</v>
      </c>
      <c r="D20" s="7">
        <f>(Tabell710[[#This Row],[Antall]]/$C$22)*100</f>
        <v>98.550724637681171</v>
      </c>
    </row>
    <row r="21" spans="2:4" x14ac:dyDescent="0.25">
      <c r="B21" t="s">
        <v>17</v>
      </c>
      <c r="C21">
        <v>0</v>
      </c>
      <c r="D21" s="7">
        <f>(Tabell710[[#This Row],[Antall]]/$C$22)*100</f>
        <v>0</v>
      </c>
    </row>
    <row r="22" spans="2:4" x14ac:dyDescent="0.25">
      <c r="B22" t="s">
        <v>19</v>
      </c>
      <c r="C22">
        <v>69</v>
      </c>
      <c r="D22" s="7">
        <f>(Tabell710[[#This Row],[Antall]]/$C$22)*100</f>
        <v>100</v>
      </c>
    </row>
    <row r="23" spans="2:4" x14ac:dyDescent="0.25">
      <c r="B23" t="s">
        <v>18</v>
      </c>
    </row>
    <row r="26" spans="2:4" x14ac:dyDescent="0.25">
      <c r="B26" s="1" t="s">
        <v>4</v>
      </c>
      <c r="C26" t="s">
        <v>14</v>
      </c>
      <c r="D26" t="s">
        <v>0</v>
      </c>
    </row>
    <row r="27" spans="2:4" x14ac:dyDescent="0.25">
      <c r="B27" t="s">
        <v>15</v>
      </c>
      <c r="C27">
        <v>6</v>
      </c>
      <c r="D27" s="7">
        <f>(Tabell711[[#This Row],[Antall]]/$C$30)*100</f>
        <v>5.4054054054054053</v>
      </c>
    </row>
    <row r="28" spans="2:4" x14ac:dyDescent="0.25">
      <c r="B28" t="s">
        <v>16</v>
      </c>
      <c r="C28">
        <v>105</v>
      </c>
      <c r="D28" s="7">
        <f>(Tabell711[[#This Row],[Antall]]/$C$30)*100</f>
        <v>94.594594594594597</v>
      </c>
    </row>
    <row r="29" spans="2:4" x14ac:dyDescent="0.25">
      <c r="B29" t="s">
        <v>17</v>
      </c>
      <c r="C29">
        <v>0</v>
      </c>
      <c r="D29" s="7">
        <f>(Tabell711[[#This Row],[Antall]]/$C$30)*100</f>
        <v>0</v>
      </c>
    </row>
    <row r="30" spans="2:4" x14ac:dyDescent="0.25">
      <c r="B30" t="s">
        <v>19</v>
      </c>
      <c r="C30">
        <v>111</v>
      </c>
      <c r="D30" s="7">
        <f>(Tabell711[[#This Row],[Antall]]/$C$30)*100</f>
        <v>100</v>
      </c>
    </row>
    <row r="31" spans="2:4" x14ac:dyDescent="0.25">
      <c r="B31" t="s">
        <v>18</v>
      </c>
    </row>
    <row r="34" spans="1:4" x14ac:dyDescent="0.25">
      <c r="A34" s="6"/>
    </row>
    <row r="35" spans="1:4" x14ac:dyDescent="0.25">
      <c r="A35" s="4" t="s">
        <v>6</v>
      </c>
      <c r="B35" s="5"/>
      <c r="C35" s="5"/>
      <c r="D35" s="5"/>
    </row>
    <row r="36" spans="1:4" x14ac:dyDescent="0.25">
      <c r="B36" s="1" t="s">
        <v>7</v>
      </c>
      <c r="C36" t="s">
        <v>14</v>
      </c>
      <c r="D36" t="s">
        <v>0</v>
      </c>
    </row>
    <row r="37" spans="1:4" x14ac:dyDescent="0.25">
      <c r="B37" t="s">
        <v>15</v>
      </c>
      <c r="C37">
        <v>0</v>
      </c>
      <c r="D37" s="7">
        <f>(Tabell71113[[#This Row],[Antall]]/$C$40)*100</f>
        <v>0</v>
      </c>
    </row>
    <row r="38" spans="1:4" x14ac:dyDescent="0.25">
      <c r="B38" t="s">
        <v>16</v>
      </c>
      <c r="C38">
        <v>66</v>
      </c>
      <c r="D38" s="7">
        <f>(Tabell71113[[#This Row],[Antall]]/$C$40)*100</f>
        <v>77.64705882352942</v>
      </c>
    </row>
    <row r="39" spans="1:4" x14ac:dyDescent="0.25">
      <c r="B39" t="s">
        <v>17</v>
      </c>
      <c r="C39">
        <v>19</v>
      </c>
      <c r="D39" s="7">
        <f>(Tabell71113[[#This Row],[Antall]]/$C$40)*100</f>
        <v>22.352941176470591</v>
      </c>
    </row>
    <row r="40" spans="1:4" x14ac:dyDescent="0.25">
      <c r="B40" t="s">
        <v>19</v>
      </c>
      <c r="C40">
        <v>85</v>
      </c>
      <c r="D40" s="7">
        <f>(Tabell71113[[#This Row],[Antall]]/$C$40)*100</f>
        <v>100</v>
      </c>
    </row>
    <row r="41" spans="1:4" x14ac:dyDescent="0.25">
      <c r="B41" t="s">
        <v>18</v>
      </c>
    </row>
    <row r="44" spans="1:4" x14ac:dyDescent="0.25">
      <c r="B44" s="1" t="s">
        <v>8</v>
      </c>
      <c r="C44" t="s">
        <v>14</v>
      </c>
      <c r="D44" t="s">
        <v>0</v>
      </c>
    </row>
    <row r="45" spans="1:4" x14ac:dyDescent="0.25">
      <c r="B45" t="s">
        <v>15</v>
      </c>
      <c r="C45">
        <v>2</v>
      </c>
      <c r="D45" s="7">
        <f>(Tabell7111314[[#This Row],[Antall]]/$C$48)*100</f>
        <v>1.4184397163120568</v>
      </c>
    </row>
    <row r="46" spans="1:4" x14ac:dyDescent="0.25">
      <c r="B46" t="s">
        <v>16</v>
      </c>
      <c r="C46">
        <v>134</v>
      </c>
      <c r="D46" s="7">
        <f>(Tabell7111314[[#This Row],[Antall]]/$C$48)*100</f>
        <v>95.035460992907801</v>
      </c>
    </row>
    <row r="47" spans="1:4" x14ac:dyDescent="0.25">
      <c r="B47" t="s">
        <v>17</v>
      </c>
      <c r="C47">
        <v>5</v>
      </c>
      <c r="D47" s="7">
        <f>(Tabell7111314[[#This Row],[Antall]]/$C$48)*100</f>
        <v>3.5460992907801421</v>
      </c>
    </row>
    <row r="48" spans="1:4" x14ac:dyDescent="0.25">
      <c r="B48" t="s">
        <v>19</v>
      </c>
      <c r="C48">
        <v>141</v>
      </c>
      <c r="D48" s="7">
        <f>(Tabell7111314[[#This Row],[Antall]]/$C$48)*100</f>
        <v>100</v>
      </c>
    </row>
    <row r="49" spans="2:4" x14ac:dyDescent="0.25">
      <c r="B49" t="s">
        <v>18</v>
      </c>
    </row>
    <row r="52" spans="2:4" x14ac:dyDescent="0.25">
      <c r="B52" s="1" t="s">
        <v>9</v>
      </c>
      <c r="C52" t="s">
        <v>14</v>
      </c>
      <c r="D52" t="s">
        <v>0</v>
      </c>
    </row>
    <row r="53" spans="2:4" x14ac:dyDescent="0.25">
      <c r="B53" t="s">
        <v>15</v>
      </c>
      <c r="C53">
        <v>3</v>
      </c>
      <c r="D53" s="7">
        <f>(Tabell7111315[[#This Row],[Antall]]/$C$56)*100</f>
        <v>9.375</v>
      </c>
    </row>
    <row r="54" spans="2:4" x14ac:dyDescent="0.25">
      <c r="B54" t="s">
        <v>16</v>
      </c>
      <c r="C54">
        <v>29</v>
      </c>
      <c r="D54" s="7">
        <f>(Tabell7111315[[#This Row],[Antall]]/$C$56)*100</f>
        <v>90.625</v>
      </c>
    </row>
    <row r="55" spans="2:4" x14ac:dyDescent="0.25">
      <c r="B55" t="s">
        <v>17</v>
      </c>
      <c r="C55">
        <v>0</v>
      </c>
      <c r="D55" s="7">
        <f>(Tabell7111315[[#This Row],[Antall]]/$C$56)*100</f>
        <v>0</v>
      </c>
    </row>
    <row r="56" spans="2:4" x14ac:dyDescent="0.25">
      <c r="B56" t="s">
        <v>19</v>
      </c>
      <c r="C56">
        <v>32</v>
      </c>
      <c r="D56" s="7">
        <f>(Tabell7111315[[#This Row],[Antall]]/$C$56)*100</f>
        <v>100</v>
      </c>
    </row>
    <row r="57" spans="2:4" x14ac:dyDescent="0.25">
      <c r="B57" t="s">
        <v>18</v>
      </c>
    </row>
    <row r="60" spans="2:4" x14ac:dyDescent="0.25">
      <c r="B60" s="1" t="s">
        <v>10</v>
      </c>
      <c r="C60" t="s">
        <v>14</v>
      </c>
      <c r="D60" t="s">
        <v>0</v>
      </c>
    </row>
    <row r="61" spans="2:4" x14ac:dyDescent="0.25">
      <c r="B61" t="s">
        <v>15</v>
      </c>
      <c r="C61">
        <v>2</v>
      </c>
      <c r="D61" s="7">
        <f>(Tabell711131516[[#This Row],[Antall]]/$C$64)*100</f>
        <v>1.7857142857142856</v>
      </c>
    </row>
    <row r="62" spans="2:4" x14ac:dyDescent="0.25">
      <c r="B62" t="s">
        <v>16</v>
      </c>
      <c r="C62">
        <v>109</v>
      </c>
      <c r="D62" s="7">
        <f>(Tabell711131516[[#This Row],[Antall]]/$C$64)*100</f>
        <v>97.321428571428569</v>
      </c>
    </row>
    <row r="63" spans="2:4" x14ac:dyDescent="0.25">
      <c r="B63" t="s">
        <v>17</v>
      </c>
      <c r="C63">
        <v>1</v>
      </c>
      <c r="D63" s="7">
        <f>(Tabell711131516[[#This Row],[Antall]]/$C$64)*100</f>
        <v>0.89285714285714279</v>
      </c>
    </row>
    <row r="64" spans="2:4" x14ac:dyDescent="0.25">
      <c r="B64" t="s">
        <v>19</v>
      </c>
      <c r="C64">
        <v>112</v>
      </c>
      <c r="D64" s="7">
        <f>(Tabell711131516[[#This Row],[Antall]]/$C$64)*100</f>
        <v>100</v>
      </c>
    </row>
    <row r="65" spans="2:4" x14ac:dyDescent="0.25">
      <c r="B65" t="s">
        <v>18</v>
      </c>
    </row>
    <row r="68" spans="2:4" x14ac:dyDescent="0.25">
      <c r="B68" s="1" t="s">
        <v>11</v>
      </c>
      <c r="C68" t="s">
        <v>14</v>
      </c>
      <c r="D68" t="s">
        <v>0</v>
      </c>
    </row>
    <row r="69" spans="2:4" x14ac:dyDescent="0.25">
      <c r="B69" t="s">
        <v>15</v>
      </c>
      <c r="C69">
        <v>7</v>
      </c>
      <c r="D69" s="7">
        <f>(Tabell711131517[[#This Row],[Antall]]/$C$72)*100</f>
        <v>4.8275862068965516</v>
      </c>
    </row>
    <row r="70" spans="2:4" x14ac:dyDescent="0.25">
      <c r="B70" t="s">
        <v>16</v>
      </c>
      <c r="C70">
        <v>110</v>
      </c>
      <c r="D70" s="7">
        <f>(Tabell711131517[[#This Row],[Antall]]/$C$72)*100</f>
        <v>75.862068965517238</v>
      </c>
    </row>
    <row r="71" spans="2:4" x14ac:dyDescent="0.25">
      <c r="B71" t="s">
        <v>17</v>
      </c>
      <c r="C71">
        <v>28</v>
      </c>
      <c r="D71" s="7">
        <f>(Tabell711131517[[#This Row],[Antall]]/$C$72)*100</f>
        <v>19.310344827586206</v>
      </c>
    </row>
    <row r="72" spans="2:4" x14ac:dyDescent="0.25">
      <c r="B72" t="s">
        <v>19</v>
      </c>
      <c r="C72">
        <v>145</v>
      </c>
      <c r="D72" s="7">
        <f>(Tabell711131517[[#This Row],[Antall]]/$C$72)*100</f>
        <v>100</v>
      </c>
    </row>
    <row r="73" spans="2:4" x14ac:dyDescent="0.25">
      <c r="B73" t="s">
        <v>18</v>
      </c>
    </row>
    <row r="76" spans="2:4" x14ac:dyDescent="0.25">
      <c r="B76" s="1" t="s">
        <v>12</v>
      </c>
      <c r="C76" t="s">
        <v>14</v>
      </c>
      <c r="D76" t="s">
        <v>0</v>
      </c>
    </row>
    <row r="77" spans="2:4" x14ac:dyDescent="0.25">
      <c r="B77" t="s">
        <v>15</v>
      </c>
      <c r="C77">
        <v>2</v>
      </c>
      <c r="D77" s="7">
        <f>(Tabell711131518[[#This Row],[Antall]]/$C$80)*100</f>
        <v>2.2222222222222223</v>
      </c>
    </row>
    <row r="78" spans="2:4" x14ac:dyDescent="0.25">
      <c r="B78" t="s">
        <v>16</v>
      </c>
      <c r="C78">
        <v>83</v>
      </c>
      <c r="D78" s="7">
        <f>(Tabell711131518[[#This Row],[Antall]]/$C$80)*100</f>
        <v>92.222222222222229</v>
      </c>
    </row>
    <row r="79" spans="2:4" x14ac:dyDescent="0.25">
      <c r="B79" t="s">
        <v>17</v>
      </c>
      <c r="C79">
        <v>5</v>
      </c>
      <c r="D79" s="7">
        <f>(Tabell711131518[[#This Row],[Antall]]/$C$80)*100</f>
        <v>5.5555555555555554</v>
      </c>
    </row>
    <row r="80" spans="2:4" x14ac:dyDescent="0.25">
      <c r="B80" t="s">
        <v>19</v>
      </c>
      <c r="C80">
        <v>90</v>
      </c>
      <c r="D80" s="7">
        <f>(Tabell711131518[[#This Row],[Antall]]/$C$80)*100</f>
        <v>100</v>
      </c>
    </row>
    <row r="81" spans="2:4" x14ac:dyDescent="0.25">
      <c r="B81" t="s">
        <v>18</v>
      </c>
    </row>
    <row r="84" spans="2:4" x14ac:dyDescent="0.25">
      <c r="B84" s="1" t="s">
        <v>13</v>
      </c>
      <c r="C84" t="s">
        <v>14</v>
      </c>
      <c r="D84" t="s">
        <v>0</v>
      </c>
    </row>
    <row r="85" spans="2:4" x14ac:dyDescent="0.25">
      <c r="B85" t="s">
        <v>15</v>
      </c>
      <c r="C85">
        <v>4</v>
      </c>
      <c r="D85" s="7">
        <f>(Tabell711131519[[#This Row],[Antall]]/$C$88)*100</f>
        <v>2.8169014084507045</v>
      </c>
    </row>
    <row r="86" spans="2:4" x14ac:dyDescent="0.25">
      <c r="B86" t="s">
        <v>16</v>
      </c>
      <c r="C86">
        <v>133</v>
      </c>
      <c r="D86" s="7">
        <f>(Tabell711131519[[#This Row],[Antall]]/$C$88)*100</f>
        <v>93.661971830985919</v>
      </c>
    </row>
    <row r="87" spans="2:4" x14ac:dyDescent="0.25">
      <c r="B87" t="s">
        <v>17</v>
      </c>
      <c r="C87">
        <v>5</v>
      </c>
      <c r="D87" s="7">
        <f>(Tabell711131519[[#This Row],[Antall]]/$C$88)*100</f>
        <v>3.5211267605633805</v>
      </c>
    </row>
    <row r="88" spans="2:4" x14ac:dyDescent="0.25">
      <c r="B88" t="s">
        <v>19</v>
      </c>
      <c r="C88">
        <v>142</v>
      </c>
      <c r="D88" s="7">
        <f>(Tabell711131519[[#This Row],[Antall]]/$C$88)*100</f>
        <v>100</v>
      </c>
    </row>
    <row r="89" spans="2:4" x14ac:dyDescent="0.25">
      <c r="B89" t="s">
        <v>18</v>
      </c>
    </row>
  </sheetData>
  <pageMargins left="0.7" right="0.7" top="0.75" bottom="0.75" header="0.3" footer="0.3"/>
  <drawing r:id="rId1"/>
  <tableParts count="10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Vetle Øyvind Larsen Lunde</dc:creator>
  <cp:lastModifiedBy>Vetle Øyvind Larsen Lunde</cp:lastModifiedBy>
  <dcterms:created xsi:type="dcterms:W3CDTF">2026-04-29T18:48:12Z</dcterms:created>
  <dcterms:modified xsi:type="dcterms:W3CDTF">2026-04-30T17:23:10Z</dcterms:modified>
</cp:coreProperties>
</file>